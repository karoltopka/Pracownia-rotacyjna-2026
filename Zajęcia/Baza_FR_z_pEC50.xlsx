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ora/Documents/semestr_4/qsar/"/>
    </mc:Choice>
  </mc:AlternateContent>
  <xr:revisionPtr revIDLastSave="0" documentId="8_{150FAB3E-4DD0-DD48-8940-F839E1185A8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Unified_Units_pEC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2" i="1"/>
</calcChain>
</file>

<file path=xl/sharedStrings.xml><?xml version="1.0" encoding="utf-8"?>
<sst xmlns="http://schemas.openxmlformats.org/spreadsheetml/2006/main" count="777" uniqueCount="209">
  <si>
    <t>record_type</t>
  </si>
  <si>
    <t>source_group</t>
  </si>
  <si>
    <t>source_detail</t>
  </si>
  <si>
    <t>compound_label</t>
  </si>
  <si>
    <t>cas</t>
  </si>
  <si>
    <t>smiles</t>
  </si>
  <si>
    <t>organism</t>
  </si>
  <si>
    <t>endpoint</t>
  </si>
  <si>
    <t>duration_h</t>
  </si>
  <si>
    <t>raw_value_mg_L</t>
  </si>
  <si>
    <t>raw_value_neglog_mol_L</t>
  </si>
  <si>
    <t>mol_weight_g_mol</t>
  </si>
  <si>
    <t>ec50_mol_L_standardized</t>
  </si>
  <si>
    <t>pEC50_standardized</t>
  </si>
  <si>
    <t>preferred_modeling_unit</t>
  </si>
  <si>
    <t>conversion_basis</t>
  </si>
  <si>
    <t>backcalc_mg_L_from_standardized</t>
  </si>
  <si>
    <t>fr_relevance_flag</t>
  </si>
  <si>
    <t>note</t>
  </si>
  <si>
    <t>Unnamed: 19</t>
  </si>
  <si>
    <t>Converted from existing -log10(mol/L)</t>
  </si>
  <si>
    <t>T.E.S.T</t>
  </si>
  <si>
    <t>List_A, List_B</t>
  </si>
  <si>
    <t>101-55-3</t>
  </si>
  <si>
    <t>BrC1=CC=C(OC=2C=CC=CC2)C=C1</t>
  </si>
  <si>
    <t>Daphnia magna</t>
  </si>
  <si>
    <t>48 h EC50</t>
  </si>
  <si>
    <t>pEC50 = -log10(mol/L)</t>
  </si>
  <si>
    <t>used_existing_-log10(mol/L)</t>
  </si>
  <si>
    <t>FR_likely</t>
  </si>
  <si>
    <t>T.E.S.T software (should be verified before final modeling).</t>
  </si>
  <si>
    <t>List_A</t>
  </si>
  <si>
    <t>101-84-8</t>
  </si>
  <si>
    <t>O(C=1C=CC=CC1)C=2C=CC=CC2</t>
  </si>
  <si>
    <t>candidate_review</t>
  </si>
  <si>
    <t>106-41-2</t>
  </si>
  <si>
    <t>BrC1=CC=C(O)C=C1</t>
  </si>
  <si>
    <t>115-86-6</t>
  </si>
  <si>
    <t>O=P(OC=1C=CC=CC1)(OC=2C=CC=CC2)OC=3C=CC=CC3</t>
  </si>
  <si>
    <t>literature</t>
  </si>
  <si>
    <t>Cristale_2013_Table4</t>
  </si>
  <si>
    <t>Environment International 59 (2013) Table 9</t>
  </si>
  <si>
    <t>TPhP</t>
  </si>
  <si>
    <t>converted_from_mg/L_using_MW_from_SMILES</t>
  </si>
  <si>
    <t>Single-compound acute toxicity from Table 4</t>
  </si>
  <si>
    <t>Waaijers_2013_Table1</t>
  </si>
  <si>
    <t>Science of the Total Environment 463-464 (2013) Table 7</t>
  </si>
  <si>
    <t>TPP</t>
  </si>
  <si>
    <t>EC50</t>
  </si>
  <si>
    <t>Liu_SSRN_Table3</t>
  </si>
  <si>
    <t>Table 3 used for  set</t>
  </si>
  <si>
    <t>TPHP</t>
  </si>
  <si>
    <t>Environment International 59 (2013) Table 4</t>
  </si>
  <si>
    <t>TCEP</t>
  </si>
  <si>
    <t>115-96-8</t>
  </si>
  <si>
    <t>C(CCl)OP(=O)(OCCCl)OCCCl</t>
  </si>
  <si>
    <t>mg/L_available_but_no_MW_no_conversion</t>
  </si>
  <si>
    <t>Pyridafenthion</t>
  </si>
  <si>
    <t>119-12-0</t>
  </si>
  <si>
    <t>CCOP(=S)(OCC)OC1=NN(C(=O)C=C1)C2=CC=CC=C2</t>
  </si>
  <si>
    <t>Science of the Total Environment 463-464 (2013) Table 11</t>
  </si>
  <si>
    <t>ZHS</t>
  </si>
  <si>
    <t>12027-96-2</t>
  </si>
  <si>
    <t>[OH-].[OH-].[OH-].[OH-].[OH-].[OH-].[Zn+2].[Sn+4]</t>
  </si>
  <si>
    <t/>
  </si>
  <si>
    <t>EC50 &gt; Sw (2.69 mg/L)</t>
  </si>
  <si>
    <t>Science of the Total Environment 463-464 (2013) Table 12</t>
  </si>
  <si>
    <t>ZS</t>
  </si>
  <si>
    <t>12036-37-2</t>
  </si>
  <si>
    <t>[O-][Sn](=O)[O-].[Zn+2]</t>
  </si>
  <si>
    <t>EC50 &gt; Sw (2.06 mg/L)</t>
  </si>
  <si>
    <t>Malathion</t>
  </si>
  <si>
    <t>121-75-5</t>
  </si>
  <si>
    <t>CCOC(=O)CC(C(=O)OCC)SP(=S)(OC)OC</t>
  </si>
  <si>
    <t>1241-94-7</t>
  </si>
  <si>
    <t>O=P(OC=1C=CC=CC1)(OC=2C=CC=CC2)OCC(CC)CCCC</t>
  </si>
  <si>
    <t>Environment International 59 (2013) Table 12</t>
  </si>
  <si>
    <t>EHDP</t>
  </si>
  <si>
    <t>EHDPP</t>
  </si>
  <si>
    <t>TDBP</t>
  </si>
  <si>
    <t>126-72-7</t>
  </si>
  <si>
    <t>C(C(CBr)Br)OP(=O)(OCC(CBr)Br)OCC(CBr)Br</t>
  </si>
  <si>
    <t xml:space="preserve">List_A, List_B </t>
  </si>
  <si>
    <t>126-73-8</t>
  </si>
  <si>
    <t>O=P(OCCCC)(OCCCC)OCCCC</t>
  </si>
  <si>
    <t>TNBP</t>
  </si>
  <si>
    <t>Science of the Total Environment 463-464 (2013) Table 9</t>
  </si>
  <si>
    <t>MHO</t>
  </si>
  <si>
    <t>1309-42-8</t>
  </si>
  <si>
    <t>[OH-].[OH-].[Mg+2]</t>
  </si>
  <si>
    <t>EC50 &gt; Sw (439 mg/L)</t>
  </si>
  <si>
    <t>Science of the Total Environment 463-464 (2013) Table 5</t>
  </si>
  <si>
    <t>ATO</t>
  </si>
  <si>
    <t>1309-64-4</t>
  </si>
  <si>
    <t>[O-2].[O-2].[O-2].[Sb+3].[Sb+3]</t>
  </si>
  <si>
    <t>List_B</t>
  </si>
  <si>
    <t>1352876-39-1</t>
  </si>
  <si>
    <t>BrC=1C=C(C=C(Br)C1O)C(C2=CC(Br)=C(O)C(Br)=C2)(C)C</t>
  </si>
  <si>
    <t>Environment International 59 (2013) Table 8</t>
  </si>
  <si>
    <t>TDCP</t>
  </si>
  <si>
    <t>13674-87-8</t>
  </si>
  <si>
    <t>C(C(CCl)OP(=O)(OC(CCl)CCl)OC(CCl)CCl)Cl</t>
  </si>
  <si>
    <t>15862-07-4</t>
  </si>
  <si>
    <t>ClC1=CC(Cl)=C(C=C1Cl)C=2C=CC=CC2</t>
  </si>
  <si>
    <t>review_FR_relevance</t>
  </si>
  <si>
    <t>182346-21-0</t>
  </si>
  <si>
    <t>BrC1=CC=C(OC2=CC=C(Br)C(Br)=C2Br)C(Br)=C1</t>
  </si>
  <si>
    <t>18259-05-7</t>
  </si>
  <si>
    <t>ClC=1C(Cl)=C(Cl)C(=C(Cl)C1Cl)C=2C=CC=CC2</t>
  </si>
  <si>
    <t>2051-60-7</t>
  </si>
  <si>
    <t>ClC=1C=CC=CC1C=2C=CC=CC2</t>
  </si>
  <si>
    <t>2051-62-9</t>
  </si>
  <si>
    <t>ClC=1C=CC(=CC1)C=2C=CC=CC2</t>
  </si>
  <si>
    <t>Science of the Total Environment 463-464 (2013) Table 14</t>
  </si>
  <si>
    <t>ATH</t>
  </si>
  <si>
    <t>21645-51-2</t>
  </si>
  <si>
    <t>[OH-].[OH-].[OH-].[Al+3]</t>
  </si>
  <si>
    <t>NSw (0.065 mg/L; 26% immobility)</t>
  </si>
  <si>
    <t>Science of the Total Environment 463-464 (2013) Table 8</t>
  </si>
  <si>
    <t>MPP</t>
  </si>
  <si>
    <t>218768-84-4</t>
  </si>
  <si>
    <t>C1(=NC(=NC(=N1)N)N)N.OP(=O)(O)O</t>
  </si>
  <si>
    <t>Science of the Total Environment 463-464 (2013) Table 4</t>
  </si>
  <si>
    <t>ALPI</t>
  </si>
  <si>
    <t>225789-38-8</t>
  </si>
  <si>
    <t>CCP(=O)(CC)[O-].CCP(=O)(CC)[O-].CCP(=O)(CC)[O-].[Al+3]</t>
  </si>
  <si>
    <t>2437-79-8</t>
  </si>
  <si>
    <t>ClC=1C=CC(=C(Cl)C1)C2=CC=C(Cl)C=C2Cl</t>
  </si>
  <si>
    <t>TDMPP</t>
  </si>
  <si>
    <t>25155-23-1</t>
  </si>
  <si>
    <t>CC1=CC(=C(C=C1)OP(=O)(OC2=C(C=C(C=C2)C)C)OC3=C(C=C(C=C3)C)C)C</t>
  </si>
  <si>
    <t>2528-36-1</t>
  </si>
  <si>
    <t>O=P(OC=1C=CC=CC1)(OCCCC)OCCCC</t>
  </si>
  <si>
    <t>Iprobenfos</t>
  </si>
  <si>
    <t>26087-47-8</t>
  </si>
  <si>
    <t>CC(C)OP(=O)(OC(C)C)SCC1=CC=CC=C1</t>
  </si>
  <si>
    <t>TIPP</t>
  </si>
  <si>
    <t>26967-76-0</t>
  </si>
  <si>
    <t>CC(C)C1=CC=C(C=C1)OP(=O)(OC2=CC=C(C=C2)C(C)C)OC3=CC=C(C=C3)C(C)C</t>
  </si>
  <si>
    <t>Diethyl dithiophosphate</t>
  </si>
  <si>
    <t>298-06-6</t>
  </si>
  <si>
    <t>CCOP(=S)(OCC)S</t>
  </si>
  <si>
    <t>32598-13-3</t>
  </si>
  <si>
    <t>ClC=1C=CC(=CC1Cl)C2=CC=C(Cl)C(Cl)=C2</t>
  </si>
  <si>
    <t>35065-27-1</t>
  </si>
  <si>
    <t>ClC=1C=C(Cl)C(=CC1Cl)C=2C=C(Cl)C(Cl)=CC2Cl</t>
  </si>
  <si>
    <t>35693-99-3</t>
  </si>
  <si>
    <t>ClC1=CC=C(Cl)C(=C1)C=2C=C(Cl)C=CC2Cl</t>
  </si>
  <si>
    <t>Science of the Total Environment 463-464 (2013) Table 2</t>
  </si>
  <si>
    <t>DOPO_unbuffered</t>
  </si>
  <si>
    <t>35948-25-5</t>
  </si>
  <si>
    <t>C1=CC=C2C(=C1)C3=CC=CC=C3[P+](=O)O2</t>
  </si>
  <si>
    <t>Science of the Total Environment 463-464 (2013) Table 3</t>
  </si>
  <si>
    <t>DOPO_buffered</t>
  </si>
  <si>
    <t>&gt;= highest tested; no effect at 289 mg/L</t>
  </si>
  <si>
    <t>37680-65-2</t>
  </si>
  <si>
    <t>ClC=1C=CC(Cl)=C(C1)C=2C=CC=CC2Cl</t>
  </si>
  <si>
    <t>37680-73-2</t>
  </si>
  <si>
    <t>ClC1=CC=C(Cl)C(=C1)C=2C=C(Cl)C(Cl)=CC2Cl</t>
  </si>
  <si>
    <t>5436-43-1</t>
  </si>
  <si>
    <t>BrC1=CC=C(OC2=CC=C(Br)C=C2Br)C(Br)=C1</t>
  </si>
  <si>
    <t>Science of the Total Environment 463-464 (2013) Table 10</t>
  </si>
  <si>
    <t>RDP</t>
  </si>
  <si>
    <t>57583-54-7</t>
  </si>
  <si>
    <t>C1=CC=C(C=C1)OP(=O)(OC2=CC=CC=C2)OC3=CC(=CC=C3)OP(=O)(OC4=CC=CC=C4)OC5=CC=CC=C5</t>
  </si>
  <si>
    <t>EC50 &gt; emulsion/Sw average 66 mg/L</t>
  </si>
  <si>
    <t>Science of the Total Environment 463-464 (2013) Table 13</t>
  </si>
  <si>
    <t>BDP</t>
  </si>
  <si>
    <t>5945-33-5</t>
  </si>
  <si>
    <t>CC(C)(C1=CC=C(C=C1)OP(=O)(OC2=CC=CC=C2)OC3=CC=CC=C3)C4=CC=C(C=C4)OP(=O)(OC5=CC=CC=C5)OC6=CC=CC=C6</t>
  </si>
  <si>
    <t>NSw (0.21 mg/L; 25% immobility)</t>
  </si>
  <si>
    <t>60348-60-9</t>
  </si>
  <si>
    <t>BrC1=CC=C(OC2=CC(Br)=C(Br)C=C2Br)C(Br)=C1</t>
  </si>
  <si>
    <t>Science of the Total Environment 463-464 (2013) Table 1</t>
  </si>
  <si>
    <t>APP</t>
  </si>
  <si>
    <t>68333-79-9</t>
  </si>
  <si>
    <t>[NH4+].[O-]P(=O)(O)O</t>
  </si>
  <si>
    <t>7012-37-5</t>
  </si>
  <si>
    <t>ClC=1C=CC(=CC1)C2=CC=C(Cl)C=C2Cl</t>
  </si>
  <si>
    <t>75-25-2</t>
  </si>
  <si>
    <t>BrC(Br)Br</t>
  </si>
  <si>
    <t>Converted from mg/L + MW</t>
  </si>
  <si>
    <t>77-47-4</t>
  </si>
  <si>
    <t>ClC=1C(Cl)=C(Cl)C(Cl)(Cl)C1Cl</t>
  </si>
  <si>
    <t>No conversion possible</t>
  </si>
  <si>
    <t>Environment International 59 (2013) Table 11</t>
  </si>
  <si>
    <t>TCP</t>
  </si>
  <si>
    <t>78-32-0</t>
  </si>
  <si>
    <t>CC1=CC=C(C=C1)OP(=O)(OC2=CC=C(C=C2)C)OC3=CC=C(C=C3)C</t>
  </si>
  <si>
    <t>Environment International 59 (2013) Table 10</t>
  </si>
  <si>
    <t>TEHP</t>
  </si>
  <si>
    <t>78-42-2</t>
  </si>
  <si>
    <t>CCCCC(CC)COP(=O)(OCC(CC)CCCC)OCC(CC)CCCC</t>
  </si>
  <si>
    <t>Environment International 59 (2013) Table 6</t>
  </si>
  <si>
    <t>TBEP</t>
  </si>
  <si>
    <t>78-51-3</t>
  </si>
  <si>
    <t>CCCCOCCOP(=O)(OCCOCCCC)OCCOCCCC</t>
  </si>
  <si>
    <t>79-94-7</t>
  </si>
  <si>
    <t>Science of the Total Environment 463-464 (2013) Table 6</t>
  </si>
  <si>
    <t>TBBPA</t>
  </si>
  <si>
    <t>80-05-7</t>
  </si>
  <si>
    <t>OC1=CC=C(C=C1)C(C2=CC=C(O)C=C2)(C)C</t>
  </si>
  <si>
    <t>Environment International 59 (2013) Table 5</t>
  </si>
  <si>
    <t>TCPP</t>
  </si>
  <si>
    <t>13674-84-5</t>
  </si>
  <si>
    <t>CC(CCl)OP(=O)(OC(C)CCl)OC(C)CCl</t>
  </si>
  <si>
    <t>Environment International 59 (2013) Table 7</t>
  </si>
  <si>
    <t>TBP</t>
  </si>
  <si>
    <t>CCCCOP(=O)(OCCCC)OCCCC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</si>
</sst>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tabSelected="1" workbookViewId="0">
      <selection activeCell="P17" sqref="P17"/>
    </sheetView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v>34</v>
      </c>
    </row>
    <row r="2" spans="1:22" x14ac:dyDescent="0.2">
      <c r="A2" t="s">
        <v>21</v>
      </c>
      <c r="B2" t="s">
        <v>22</v>
      </c>
      <c r="C2" t="s">
        <v>22</v>
      </c>
      <c r="D2" t="s">
        <v>23</v>
      </c>
      <c r="E2" t="s">
        <v>23</v>
      </c>
      <c r="F2" t="s">
        <v>24</v>
      </c>
      <c r="G2" t="s">
        <v>25</v>
      </c>
      <c r="H2" t="s">
        <v>26</v>
      </c>
      <c r="I2">
        <v>48</v>
      </c>
      <c r="J2">
        <v>0.26</v>
      </c>
      <c r="K2">
        <v>5.98</v>
      </c>
      <c r="L2">
        <v>249.107</v>
      </c>
      <c r="M2">
        <v>1.047128548050899E-6</v>
      </c>
      <c r="N2">
        <f>-LOG10((J2/1000)/L2)</f>
        <v>5.9814125835747589</v>
      </c>
      <c r="O2" t="s">
        <v>27</v>
      </c>
      <c r="P2" t="s">
        <v>28</v>
      </c>
      <c r="Q2">
        <v>0.26084705121931517</v>
      </c>
      <c r="R2" t="s">
        <v>29</v>
      </c>
      <c r="S2" t="s">
        <v>30</v>
      </c>
    </row>
    <row r="3" spans="1:22" x14ac:dyDescent="0.2">
      <c r="A3" t="s">
        <v>21</v>
      </c>
      <c r="B3" t="s">
        <v>31</v>
      </c>
      <c r="C3" t="s">
        <v>31</v>
      </c>
      <c r="D3" t="s">
        <v>32</v>
      </c>
      <c r="E3" t="s">
        <v>32</v>
      </c>
      <c r="F3" t="s">
        <v>33</v>
      </c>
      <c r="G3" t="s">
        <v>25</v>
      </c>
      <c r="H3" t="s">
        <v>26</v>
      </c>
      <c r="I3">
        <v>48</v>
      </c>
      <c r="J3">
        <v>0.63</v>
      </c>
      <c r="K3">
        <v>5.43</v>
      </c>
      <c r="L3">
        <v>170.21100000000001</v>
      </c>
      <c r="M3">
        <v>3.715352290971728E-6</v>
      </c>
      <c r="N3">
        <f t="shared" ref="N3:N65" si="0">-LOG10((J3/1000)/L3)</f>
        <v>5.4316470737740206</v>
      </c>
      <c r="O3" t="s">
        <v>27</v>
      </c>
      <c r="P3" t="s">
        <v>28</v>
      </c>
      <c r="Q3">
        <v>0.63239382879858874</v>
      </c>
      <c r="R3" t="s">
        <v>34</v>
      </c>
      <c r="S3" t="s">
        <v>30</v>
      </c>
    </row>
    <row r="4" spans="1:22" x14ac:dyDescent="0.2">
      <c r="A4" t="s">
        <v>21</v>
      </c>
      <c r="B4" t="s">
        <v>31</v>
      </c>
      <c r="C4" t="s">
        <v>31</v>
      </c>
      <c r="D4" t="s">
        <v>35</v>
      </c>
      <c r="E4" t="s">
        <v>35</v>
      </c>
      <c r="F4" t="s">
        <v>36</v>
      </c>
      <c r="G4" t="s">
        <v>25</v>
      </c>
      <c r="H4" t="s">
        <v>26</v>
      </c>
      <c r="I4">
        <v>48</v>
      </c>
      <c r="J4">
        <v>5.94</v>
      </c>
      <c r="K4">
        <v>4.46</v>
      </c>
      <c r="L4">
        <v>173.00899999999999</v>
      </c>
      <c r="M4">
        <v>3.4673685045253168E-5</v>
      </c>
      <c r="N4">
        <f t="shared" si="0"/>
        <v>4.4642822509144837</v>
      </c>
      <c r="O4" t="s">
        <v>27</v>
      </c>
      <c r="P4" t="s">
        <v>28</v>
      </c>
      <c r="Q4">
        <v>5.9988595759942047</v>
      </c>
      <c r="R4" t="s">
        <v>34</v>
      </c>
      <c r="S4" t="s">
        <v>30</v>
      </c>
    </row>
    <row r="5" spans="1:22" x14ac:dyDescent="0.2">
      <c r="A5" t="s">
        <v>21</v>
      </c>
      <c r="B5" t="s">
        <v>22</v>
      </c>
      <c r="C5" t="s">
        <v>22</v>
      </c>
      <c r="D5" t="s">
        <v>37</v>
      </c>
      <c r="E5" t="s">
        <v>37</v>
      </c>
      <c r="F5" t="s">
        <v>38</v>
      </c>
      <c r="G5" t="s">
        <v>25</v>
      </c>
      <c r="H5" t="s">
        <v>26</v>
      </c>
      <c r="I5">
        <v>48</v>
      </c>
      <c r="J5">
        <v>1</v>
      </c>
      <c r="K5">
        <v>5.51</v>
      </c>
      <c r="L5">
        <v>326.28800000000001</v>
      </c>
      <c r="M5">
        <v>3.0902954325135919E-6</v>
      </c>
      <c r="N5">
        <f t="shared" si="0"/>
        <v>5.5136011018920286</v>
      </c>
      <c r="O5" t="s">
        <v>27</v>
      </c>
      <c r="P5" t="s">
        <v>28</v>
      </c>
      <c r="Q5">
        <v>1.008326316083995</v>
      </c>
      <c r="R5" t="s">
        <v>29</v>
      </c>
      <c r="S5" t="s">
        <v>30</v>
      </c>
    </row>
    <row r="6" spans="1:22" x14ac:dyDescent="0.2">
      <c r="A6" t="s">
        <v>39</v>
      </c>
      <c r="B6" t="s">
        <v>40</v>
      </c>
      <c r="C6" t="s">
        <v>41</v>
      </c>
      <c r="D6" t="s">
        <v>42</v>
      </c>
      <c r="E6" t="s">
        <v>37</v>
      </c>
      <c r="F6" t="s">
        <v>38</v>
      </c>
      <c r="G6" t="s">
        <v>25</v>
      </c>
      <c r="H6" t="s">
        <v>26</v>
      </c>
      <c r="I6">
        <v>48</v>
      </c>
      <c r="J6">
        <v>1.7</v>
      </c>
      <c r="L6">
        <v>326.28800000000001</v>
      </c>
      <c r="M6">
        <v>5.2101211199921538E-6</v>
      </c>
      <c r="N6">
        <f t="shared" si="0"/>
        <v>5.2831521805137545</v>
      </c>
      <c r="O6" t="s">
        <v>27</v>
      </c>
      <c r="P6" t="s">
        <v>43</v>
      </c>
      <c r="Q6">
        <v>1.7</v>
      </c>
      <c r="R6" t="s">
        <v>29</v>
      </c>
      <c r="S6" t="s">
        <v>44</v>
      </c>
    </row>
    <row r="7" spans="1:22" x14ac:dyDescent="0.2">
      <c r="A7" t="s">
        <v>39</v>
      </c>
      <c r="B7" t="s">
        <v>45</v>
      </c>
      <c r="C7" t="s">
        <v>46</v>
      </c>
      <c r="D7" t="s">
        <v>47</v>
      </c>
      <c r="E7" t="s">
        <v>37</v>
      </c>
      <c r="F7" t="s">
        <v>38</v>
      </c>
      <c r="G7" t="s">
        <v>25</v>
      </c>
      <c r="H7" t="s">
        <v>26</v>
      </c>
      <c r="I7">
        <v>48</v>
      </c>
      <c r="J7">
        <v>0.55000000000000004</v>
      </c>
      <c r="L7">
        <v>326.28800000000001</v>
      </c>
      <c r="M7">
        <v>1.6856274211739319E-6</v>
      </c>
      <c r="N7">
        <f t="shared" si="0"/>
        <v>5.7732384123977845</v>
      </c>
      <c r="O7" t="s">
        <v>27</v>
      </c>
      <c r="P7" t="s">
        <v>43</v>
      </c>
      <c r="Q7">
        <v>0.55000000000000004</v>
      </c>
      <c r="R7" t="s">
        <v>29</v>
      </c>
      <c r="S7" t="s">
        <v>48</v>
      </c>
    </row>
    <row r="8" spans="1:22" x14ac:dyDescent="0.2">
      <c r="A8" t="s">
        <v>39</v>
      </c>
      <c r="B8" t="s">
        <v>49</v>
      </c>
      <c r="C8" t="s">
        <v>50</v>
      </c>
      <c r="D8" t="s">
        <v>51</v>
      </c>
      <c r="E8" t="s">
        <v>37</v>
      </c>
      <c r="F8" t="s">
        <v>38</v>
      </c>
      <c r="G8" t="s">
        <v>25</v>
      </c>
      <c r="H8" t="s">
        <v>26</v>
      </c>
      <c r="I8">
        <v>48</v>
      </c>
      <c r="J8">
        <v>2.4</v>
      </c>
      <c r="L8">
        <v>326.28800000000001</v>
      </c>
      <c r="M8">
        <v>7.3554651105771581E-6</v>
      </c>
      <c r="N8">
        <f t="shared" si="0"/>
        <v>5.1333898601804222</v>
      </c>
      <c r="O8" t="s">
        <v>27</v>
      </c>
      <c r="P8" t="s">
        <v>43</v>
      </c>
      <c r="Q8">
        <v>2.4</v>
      </c>
      <c r="R8" t="s">
        <v>29</v>
      </c>
    </row>
    <row r="9" spans="1:22" x14ac:dyDescent="0.2">
      <c r="A9" t="s">
        <v>39</v>
      </c>
      <c r="B9" t="s">
        <v>40</v>
      </c>
      <c r="C9" t="s">
        <v>52</v>
      </c>
      <c r="D9" t="s">
        <v>53</v>
      </c>
      <c r="E9" t="s">
        <v>54</v>
      </c>
      <c r="F9" t="s">
        <v>55</v>
      </c>
      <c r="G9" t="s">
        <v>25</v>
      </c>
      <c r="H9" t="s">
        <v>26</v>
      </c>
      <c r="I9">
        <v>48</v>
      </c>
      <c r="J9">
        <v>381</v>
      </c>
      <c r="L9">
        <v>285.49099999999999</v>
      </c>
      <c r="N9">
        <f t="shared" si="0"/>
        <v>2.874667446146367</v>
      </c>
      <c r="O9" t="s">
        <v>27</v>
      </c>
      <c r="P9" t="s">
        <v>56</v>
      </c>
      <c r="R9" t="s">
        <v>29</v>
      </c>
      <c r="S9" t="s">
        <v>44</v>
      </c>
    </row>
    <row r="10" spans="1:22" x14ac:dyDescent="0.2">
      <c r="A10" t="s">
        <v>39</v>
      </c>
      <c r="B10" t="s">
        <v>49</v>
      </c>
      <c r="C10" t="s">
        <v>50</v>
      </c>
      <c r="D10" t="s">
        <v>53</v>
      </c>
      <c r="E10" t="s">
        <v>54</v>
      </c>
      <c r="F10" t="s">
        <v>55</v>
      </c>
      <c r="G10" t="s">
        <v>25</v>
      </c>
      <c r="H10" t="s">
        <v>26</v>
      </c>
      <c r="I10">
        <v>48</v>
      </c>
      <c r="J10">
        <v>170</v>
      </c>
      <c r="L10">
        <v>285.49099999999999</v>
      </c>
      <c r="N10">
        <f t="shared" si="0"/>
        <v>3.2251435004437123</v>
      </c>
      <c r="O10" t="s">
        <v>27</v>
      </c>
      <c r="P10" t="s">
        <v>56</v>
      </c>
      <c r="R10" t="s">
        <v>29</v>
      </c>
    </row>
    <row r="11" spans="1:22" x14ac:dyDescent="0.2">
      <c r="A11" t="s">
        <v>39</v>
      </c>
      <c r="B11" t="s">
        <v>49</v>
      </c>
      <c r="C11" t="s">
        <v>50</v>
      </c>
      <c r="D11" t="s">
        <v>57</v>
      </c>
      <c r="E11" t="s">
        <v>58</v>
      </c>
      <c r="F11" t="s">
        <v>59</v>
      </c>
      <c r="G11" t="s">
        <v>25</v>
      </c>
      <c r="H11" t="s">
        <v>26</v>
      </c>
      <c r="I11">
        <v>48</v>
      </c>
      <c r="J11">
        <v>5.1000000000000004E-4</v>
      </c>
      <c r="L11">
        <v>340.34100000000001</v>
      </c>
      <c r="N11">
        <f t="shared" si="0"/>
        <v>8.824344094482413</v>
      </c>
      <c r="O11" t="s">
        <v>27</v>
      </c>
      <c r="P11" t="s">
        <v>56</v>
      </c>
      <c r="R11" t="s">
        <v>34</v>
      </c>
    </row>
    <row r="12" spans="1:22" x14ac:dyDescent="0.2">
      <c r="A12" t="s">
        <v>39</v>
      </c>
      <c r="B12" t="s">
        <v>45</v>
      </c>
      <c r="C12" t="s">
        <v>60</v>
      </c>
      <c r="D12" t="s">
        <v>61</v>
      </c>
      <c r="E12" t="s">
        <v>62</v>
      </c>
      <c r="F12" t="s">
        <v>63</v>
      </c>
      <c r="G12" t="s">
        <v>25</v>
      </c>
      <c r="H12" t="s">
        <v>26</v>
      </c>
      <c r="I12">
        <v>48</v>
      </c>
      <c r="J12">
        <v>2.69</v>
      </c>
      <c r="L12">
        <v>286.14299999999997</v>
      </c>
      <c r="M12" t="s">
        <v>64</v>
      </c>
      <c r="N12">
        <f t="shared" si="0"/>
        <v>5.0268308460988651</v>
      </c>
      <c r="O12" t="s">
        <v>27</v>
      </c>
      <c r="P12" t="s">
        <v>56</v>
      </c>
      <c r="R12" t="s">
        <v>29</v>
      </c>
      <c r="S12" t="s">
        <v>65</v>
      </c>
    </row>
    <row r="13" spans="1:22" x14ac:dyDescent="0.2">
      <c r="A13" t="s">
        <v>39</v>
      </c>
      <c r="B13" t="s">
        <v>45</v>
      </c>
      <c r="C13" t="s">
        <v>66</v>
      </c>
      <c r="D13" t="s">
        <v>67</v>
      </c>
      <c r="E13" t="s">
        <v>68</v>
      </c>
      <c r="F13" t="s">
        <v>69</v>
      </c>
      <c r="G13" t="s">
        <v>25</v>
      </c>
      <c r="H13" t="s">
        <v>26</v>
      </c>
      <c r="I13">
        <v>48</v>
      </c>
      <c r="J13">
        <v>2.06</v>
      </c>
      <c r="L13">
        <v>232.09800000000001</v>
      </c>
      <c r="N13">
        <f t="shared" si="0"/>
        <v>5.0518041777657556</v>
      </c>
      <c r="O13" t="s">
        <v>27</v>
      </c>
      <c r="P13" t="s">
        <v>56</v>
      </c>
      <c r="R13" t="s">
        <v>29</v>
      </c>
      <c r="S13" t="s">
        <v>70</v>
      </c>
    </row>
    <row r="14" spans="1:22" x14ac:dyDescent="0.2">
      <c r="A14" t="s">
        <v>39</v>
      </c>
      <c r="B14" t="s">
        <v>49</v>
      </c>
      <c r="C14" t="s">
        <v>50</v>
      </c>
      <c r="D14" t="s">
        <v>71</v>
      </c>
      <c r="E14" t="s">
        <v>72</v>
      </c>
      <c r="F14" t="s">
        <v>73</v>
      </c>
      <c r="G14" t="s">
        <v>25</v>
      </c>
      <c r="H14" t="s">
        <v>26</v>
      </c>
      <c r="I14">
        <v>48</v>
      </c>
      <c r="J14">
        <v>1.918E-3</v>
      </c>
      <c r="L14">
        <v>330.36399999999998</v>
      </c>
      <c r="N14">
        <f t="shared" si="0"/>
        <v>8.2361441130135358</v>
      </c>
      <c r="O14" t="s">
        <v>27</v>
      </c>
      <c r="P14" t="s">
        <v>56</v>
      </c>
      <c r="R14" t="s">
        <v>34</v>
      </c>
    </row>
    <row r="15" spans="1:22" x14ac:dyDescent="0.2">
      <c r="A15" t="s">
        <v>21</v>
      </c>
      <c r="B15" t="s">
        <v>22</v>
      </c>
      <c r="C15" t="s">
        <v>22</v>
      </c>
      <c r="D15" t="s">
        <v>74</v>
      </c>
      <c r="E15" t="s">
        <v>74</v>
      </c>
      <c r="F15" t="s">
        <v>75</v>
      </c>
      <c r="G15" t="s">
        <v>25</v>
      </c>
      <c r="H15" t="s">
        <v>26</v>
      </c>
      <c r="I15">
        <v>48</v>
      </c>
      <c r="J15">
        <v>0.15</v>
      </c>
      <c r="K15">
        <v>6.38</v>
      </c>
      <c r="L15">
        <v>362.40600000000018</v>
      </c>
      <c r="M15">
        <v>4.1686938347033552E-7</v>
      </c>
      <c r="N15">
        <f t="shared" si="0"/>
        <v>6.3831041201955649</v>
      </c>
      <c r="O15" t="s">
        <v>27</v>
      </c>
      <c r="P15" t="s">
        <v>28</v>
      </c>
      <c r="Q15">
        <v>0.15107596578595051</v>
      </c>
      <c r="R15" t="s">
        <v>29</v>
      </c>
      <c r="S15" t="s">
        <v>30</v>
      </c>
    </row>
    <row r="16" spans="1:22" x14ac:dyDescent="0.2">
      <c r="A16" t="s">
        <v>39</v>
      </c>
      <c r="B16" t="s">
        <v>40</v>
      </c>
      <c r="C16" t="s">
        <v>76</v>
      </c>
      <c r="D16" t="s">
        <v>77</v>
      </c>
      <c r="E16" t="s">
        <v>74</v>
      </c>
      <c r="F16" t="s">
        <v>75</v>
      </c>
      <c r="G16" t="s">
        <v>25</v>
      </c>
      <c r="H16" t="s">
        <v>26</v>
      </c>
      <c r="I16">
        <v>48</v>
      </c>
      <c r="J16">
        <v>0.31</v>
      </c>
      <c r="L16">
        <v>362.40600000000018</v>
      </c>
      <c r="M16">
        <v>8.5539422636490509E-7</v>
      </c>
      <c r="N16">
        <f t="shared" si="0"/>
        <v>6.0678336854169732</v>
      </c>
      <c r="O16" t="s">
        <v>27</v>
      </c>
      <c r="P16" t="s">
        <v>43</v>
      </c>
      <c r="Q16">
        <v>0.31</v>
      </c>
      <c r="R16" t="s">
        <v>29</v>
      </c>
      <c r="S16" t="s">
        <v>44</v>
      </c>
    </row>
    <row r="17" spans="1:19" x14ac:dyDescent="0.2">
      <c r="A17" t="s">
        <v>39</v>
      </c>
      <c r="B17" t="s">
        <v>49</v>
      </c>
      <c r="C17" t="s">
        <v>50</v>
      </c>
      <c r="D17" t="s">
        <v>78</v>
      </c>
      <c r="E17" t="s">
        <v>74</v>
      </c>
      <c r="F17" t="s">
        <v>75</v>
      </c>
      <c r="G17" t="s">
        <v>25</v>
      </c>
      <c r="H17" t="s">
        <v>26</v>
      </c>
      <c r="I17">
        <v>48</v>
      </c>
      <c r="J17">
        <v>0.15</v>
      </c>
      <c r="L17">
        <v>362.40600000000018</v>
      </c>
      <c r="M17">
        <v>4.1390043211205081E-7</v>
      </c>
      <c r="N17">
        <f t="shared" si="0"/>
        <v>6.3831041201955649</v>
      </c>
      <c r="O17" t="s">
        <v>27</v>
      </c>
      <c r="P17" t="s">
        <v>43</v>
      </c>
      <c r="Q17">
        <v>0.15</v>
      </c>
      <c r="R17" t="s">
        <v>29</v>
      </c>
    </row>
    <row r="18" spans="1:19" x14ac:dyDescent="0.2">
      <c r="A18" t="s">
        <v>39</v>
      </c>
      <c r="B18" t="s">
        <v>49</v>
      </c>
      <c r="C18" t="s">
        <v>50</v>
      </c>
      <c r="D18" t="s">
        <v>79</v>
      </c>
      <c r="E18" t="s">
        <v>80</v>
      </c>
      <c r="F18" t="s">
        <v>81</v>
      </c>
      <c r="G18" t="s">
        <v>25</v>
      </c>
      <c r="H18" t="s">
        <v>26</v>
      </c>
      <c r="I18">
        <v>48</v>
      </c>
      <c r="J18">
        <v>4.2</v>
      </c>
      <c r="L18">
        <v>697.61300000000006</v>
      </c>
      <c r="N18">
        <f t="shared" si="0"/>
        <v>5.2203652746683238</v>
      </c>
      <c r="O18" t="s">
        <v>27</v>
      </c>
      <c r="P18" t="s">
        <v>56</v>
      </c>
      <c r="R18" t="s">
        <v>29</v>
      </c>
    </row>
    <row r="19" spans="1:19" x14ac:dyDescent="0.2">
      <c r="A19" t="s">
        <v>21</v>
      </c>
      <c r="B19" t="s">
        <v>22</v>
      </c>
      <c r="C19" t="s">
        <v>82</v>
      </c>
      <c r="D19" t="s">
        <v>83</v>
      </c>
      <c r="E19" t="s">
        <v>83</v>
      </c>
      <c r="F19" t="s">
        <v>84</v>
      </c>
      <c r="G19" t="s">
        <v>25</v>
      </c>
      <c r="H19" t="s">
        <v>26</v>
      </c>
      <c r="I19">
        <v>48</v>
      </c>
      <c r="J19">
        <v>3.66</v>
      </c>
      <c r="K19">
        <v>4.8600000000000003</v>
      </c>
      <c r="L19">
        <v>266.31799999999993</v>
      </c>
      <c r="M19">
        <v>1.380384264602884E-5</v>
      </c>
      <c r="N19">
        <f t="shared" si="0"/>
        <v>4.8619194352934567</v>
      </c>
      <c r="O19" t="s">
        <v>27</v>
      </c>
      <c r="P19" t="s">
        <v>28</v>
      </c>
      <c r="Q19">
        <v>3.6762117658051068</v>
      </c>
      <c r="R19" t="s">
        <v>29</v>
      </c>
      <c r="S19" t="s">
        <v>30</v>
      </c>
    </row>
    <row r="20" spans="1:19" x14ac:dyDescent="0.2">
      <c r="A20" t="s">
        <v>39</v>
      </c>
      <c r="B20" t="s">
        <v>49</v>
      </c>
      <c r="C20" t="s">
        <v>50</v>
      </c>
      <c r="D20" t="s">
        <v>85</v>
      </c>
      <c r="E20" t="s">
        <v>83</v>
      </c>
      <c r="F20" t="s">
        <v>84</v>
      </c>
      <c r="G20" t="s">
        <v>25</v>
      </c>
      <c r="H20" t="s">
        <v>26</v>
      </c>
      <c r="I20">
        <v>48</v>
      </c>
      <c r="J20">
        <v>7.6</v>
      </c>
      <c r="L20">
        <v>266.31799999999993</v>
      </c>
      <c r="M20">
        <v>2.8537312536141012E-5</v>
      </c>
      <c r="N20">
        <f t="shared" si="0"/>
        <v>4.5445869284070755</v>
      </c>
      <c r="O20" t="s">
        <v>27</v>
      </c>
      <c r="P20" t="s">
        <v>43</v>
      </c>
      <c r="Q20">
        <v>7.6</v>
      </c>
      <c r="R20" t="s">
        <v>29</v>
      </c>
    </row>
    <row r="21" spans="1:19" x14ac:dyDescent="0.2">
      <c r="A21" t="s">
        <v>39</v>
      </c>
      <c r="B21" t="s">
        <v>45</v>
      </c>
      <c r="C21" t="s">
        <v>86</v>
      </c>
      <c r="D21" t="s">
        <v>87</v>
      </c>
      <c r="E21" t="s">
        <v>88</v>
      </c>
      <c r="F21" t="s">
        <v>89</v>
      </c>
      <c r="G21" t="s">
        <v>25</v>
      </c>
      <c r="H21" t="s">
        <v>26</v>
      </c>
      <c r="I21">
        <v>48</v>
      </c>
      <c r="J21">
        <v>439</v>
      </c>
      <c r="L21">
        <v>58.319000000000003</v>
      </c>
      <c r="N21">
        <f t="shared" si="0"/>
        <v>2.1233455482535768</v>
      </c>
      <c r="O21" t="s">
        <v>27</v>
      </c>
      <c r="P21" t="s">
        <v>56</v>
      </c>
      <c r="R21" t="s">
        <v>29</v>
      </c>
      <c r="S21" t="s">
        <v>90</v>
      </c>
    </row>
    <row r="22" spans="1:19" x14ac:dyDescent="0.2">
      <c r="A22" t="s">
        <v>39</v>
      </c>
      <c r="B22" t="s">
        <v>45</v>
      </c>
      <c r="C22" t="s">
        <v>91</v>
      </c>
      <c r="D22" t="s">
        <v>92</v>
      </c>
      <c r="E22" t="s">
        <v>93</v>
      </c>
      <c r="F22" t="s">
        <v>94</v>
      </c>
      <c r="G22" t="s">
        <v>25</v>
      </c>
      <c r="H22" t="s">
        <v>26</v>
      </c>
      <c r="I22">
        <v>48</v>
      </c>
      <c r="J22">
        <v>3.01</v>
      </c>
      <c r="L22">
        <v>291.517</v>
      </c>
      <c r="N22">
        <f t="shared" si="0"/>
        <v>4.9860973903997001</v>
      </c>
      <c r="O22" t="s">
        <v>27</v>
      </c>
      <c r="P22" t="s">
        <v>56</v>
      </c>
      <c r="R22" t="s">
        <v>29</v>
      </c>
      <c r="S22" t="s">
        <v>48</v>
      </c>
    </row>
    <row r="23" spans="1:19" x14ac:dyDescent="0.2">
      <c r="A23" t="s">
        <v>21</v>
      </c>
      <c r="B23" t="s">
        <v>95</v>
      </c>
      <c r="C23" t="s">
        <v>95</v>
      </c>
      <c r="D23" t="s">
        <v>96</v>
      </c>
      <c r="E23" t="s">
        <v>96</v>
      </c>
      <c r="F23" t="s">
        <v>97</v>
      </c>
      <c r="G23" t="s">
        <v>25</v>
      </c>
      <c r="H23" t="s">
        <v>26</v>
      </c>
      <c r="I23">
        <v>48</v>
      </c>
      <c r="J23">
        <v>7.9</v>
      </c>
      <c r="K23">
        <v>4.84</v>
      </c>
      <c r="L23">
        <v>543.87500000000011</v>
      </c>
      <c r="M23">
        <v>1.445439770745928E-5</v>
      </c>
      <c r="N23">
        <f t="shared" si="0"/>
        <v>4.8378720050103317</v>
      </c>
      <c r="O23" t="s">
        <v>27</v>
      </c>
      <c r="P23" t="s">
        <v>28</v>
      </c>
      <c r="Q23">
        <v>7.8613855531444177</v>
      </c>
      <c r="R23" t="s">
        <v>34</v>
      </c>
      <c r="S23" t="s">
        <v>30</v>
      </c>
    </row>
    <row r="24" spans="1:19" x14ac:dyDescent="0.2">
      <c r="A24" t="s">
        <v>39</v>
      </c>
      <c r="B24" t="s">
        <v>40</v>
      </c>
      <c r="C24" t="s">
        <v>98</v>
      </c>
      <c r="D24" t="s">
        <v>99</v>
      </c>
      <c r="E24" t="s">
        <v>100</v>
      </c>
      <c r="F24" t="s">
        <v>101</v>
      </c>
      <c r="G24" t="s">
        <v>25</v>
      </c>
      <c r="H24" t="s">
        <v>26</v>
      </c>
      <c r="I24">
        <v>48</v>
      </c>
      <c r="J24">
        <v>7.9</v>
      </c>
      <c r="L24">
        <v>430.90699999999998</v>
      </c>
      <c r="N24">
        <f t="shared" si="0"/>
        <v>4.7367564578842121</v>
      </c>
      <c r="O24" t="s">
        <v>27</v>
      </c>
      <c r="P24" t="s">
        <v>56</v>
      </c>
      <c r="R24" t="s">
        <v>29</v>
      </c>
      <c r="S24" t="s">
        <v>44</v>
      </c>
    </row>
    <row r="25" spans="1:19" x14ac:dyDescent="0.2">
      <c r="A25" t="s">
        <v>39</v>
      </c>
      <c r="B25" t="s">
        <v>49</v>
      </c>
      <c r="C25" t="s">
        <v>50</v>
      </c>
      <c r="D25" t="s">
        <v>99</v>
      </c>
      <c r="E25" t="s">
        <v>100</v>
      </c>
      <c r="F25" t="s">
        <v>101</v>
      </c>
      <c r="G25" t="s">
        <v>25</v>
      </c>
      <c r="H25" t="s">
        <v>26</v>
      </c>
      <c r="I25">
        <v>48</v>
      </c>
      <c r="J25">
        <v>7.9</v>
      </c>
      <c r="L25">
        <v>430.90699999999998</v>
      </c>
      <c r="N25">
        <f t="shared" si="0"/>
        <v>4.7367564578842121</v>
      </c>
      <c r="O25" t="s">
        <v>27</v>
      </c>
      <c r="P25" t="s">
        <v>56</v>
      </c>
      <c r="R25" t="s">
        <v>29</v>
      </c>
    </row>
    <row r="26" spans="1:19" x14ac:dyDescent="0.2">
      <c r="A26" t="s">
        <v>21</v>
      </c>
      <c r="B26" t="s">
        <v>95</v>
      </c>
      <c r="C26" t="s">
        <v>95</v>
      </c>
      <c r="D26" t="s">
        <v>102</v>
      </c>
      <c r="E26" t="s">
        <v>102</v>
      </c>
      <c r="F26" t="s">
        <v>103</v>
      </c>
      <c r="G26" t="s">
        <v>25</v>
      </c>
      <c r="H26" t="s">
        <v>26</v>
      </c>
      <c r="I26">
        <v>48</v>
      </c>
      <c r="J26">
        <v>0.59</v>
      </c>
      <c r="K26">
        <v>5.64</v>
      </c>
      <c r="L26">
        <v>257.54700000000003</v>
      </c>
      <c r="M26">
        <v>2.2908676527677752E-6</v>
      </c>
      <c r="N26">
        <f t="shared" si="0"/>
        <v>5.640004483785737</v>
      </c>
      <c r="O26" t="s">
        <v>27</v>
      </c>
      <c r="P26" t="s">
        <v>28</v>
      </c>
      <c r="Q26">
        <v>0.59000609136738214</v>
      </c>
      <c r="R26" t="s">
        <v>104</v>
      </c>
      <c r="S26" t="s">
        <v>30</v>
      </c>
    </row>
    <row r="27" spans="1:19" x14ac:dyDescent="0.2">
      <c r="A27" t="s">
        <v>21</v>
      </c>
      <c r="B27" t="s">
        <v>22</v>
      </c>
      <c r="C27" t="s">
        <v>22</v>
      </c>
      <c r="D27" t="s">
        <v>105</v>
      </c>
      <c r="E27" t="s">
        <v>105</v>
      </c>
      <c r="F27" t="s">
        <v>106</v>
      </c>
      <c r="G27" t="s">
        <v>25</v>
      </c>
      <c r="H27" t="s">
        <v>26</v>
      </c>
      <c r="I27">
        <v>48</v>
      </c>
      <c r="J27">
        <v>5.3999999999999999E-2</v>
      </c>
      <c r="K27">
        <v>7.02</v>
      </c>
      <c r="L27">
        <v>564.69100000000003</v>
      </c>
      <c r="M27">
        <v>9.5499258602143688E-8</v>
      </c>
      <c r="N27">
        <f t="shared" si="0"/>
        <v>7.0194171062183468</v>
      </c>
      <c r="O27" t="s">
        <v>27</v>
      </c>
      <c r="P27" t="s">
        <v>28</v>
      </c>
      <c r="Q27">
        <v>5.3927571839303121E-2</v>
      </c>
      <c r="R27" t="s">
        <v>29</v>
      </c>
      <c r="S27" t="s">
        <v>30</v>
      </c>
    </row>
    <row r="28" spans="1:19" x14ac:dyDescent="0.2">
      <c r="A28" t="s">
        <v>21</v>
      </c>
      <c r="B28" t="s">
        <v>95</v>
      </c>
      <c r="C28" t="s">
        <v>95</v>
      </c>
      <c r="D28" t="s">
        <v>107</v>
      </c>
      <c r="E28" t="s">
        <v>107</v>
      </c>
      <c r="F28" t="s">
        <v>108</v>
      </c>
      <c r="G28" t="s">
        <v>25</v>
      </c>
      <c r="H28" t="s">
        <v>26</v>
      </c>
      <c r="I28">
        <v>48</v>
      </c>
      <c r="J28">
        <v>8.0099999999999998E-3</v>
      </c>
      <c r="K28">
        <v>7.61</v>
      </c>
      <c r="L28">
        <v>326.43700000000001</v>
      </c>
      <c r="M28">
        <v>2.4547089156850289E-8</v>
      </c>
      <c r="N28">
        <f t="shared" si="0"/>
        <v>7.6101668618932097</v>
      </c>
      <c r="O28" t="s">
        <v>27</v>
      </c>
      <c r="P28" t="s">
        <v>28</v>
      </c>
      <c r="Q28">
        <v>8.0130781430947373E-3</v>
      </c>
      <c r="R28" t="s">
        <v>104</v>
      </c>
      <c r="S28" t="s">
        <v>30</v>
      </c>
    </row>
    <row r="29" spans="1:19" x14ac:dyDescent="0.2">
      <c r="A29" t="s">
        <v>21</v>
      </c>
      <c r="B29" t="s">
        <v>95</v>
      </c>
      <c r="C29" t="s">
        <v>95</v>
      </c>
      <c r="D29" t="s">
        <v>109</v>
      </c>
      <c r="E29" t="s">
        <v>109</v>
      </c>
      <c r="F29" t="s">
        <v>110</v>
      </c>
      <c r="G29" t="s">
        <v>25</v>
      </c>
      <c r="H29" t="s">
        <v>26</v>
      </c>
      <c r="I29">
        <v>48</v>
      </c>
      <c r="J29">
        <v>0.71</v>
      </c>
      <c r="K29">
        <v>5.42</v>
      </c>
      <c r="L29">
        <v>188.65700000000001</v>
      </c>
      <c r="M29">
        <v>3.8018939632056128E-6</v>
      </c>
      <c r="N29">
        <f t="shared" si="0"/>
        <v>5.4244145753420465</v>
      </c>
      <c r="O29" t="s">
        <v>27</v>
      </c>
      <c r="P29" t="s">
        <v>28</v>
      </c>
      <c r="Q29">
        <v>0.71725390941648126</v>
      </c>
      <c r="R29" t="s">
        <v>104</v>
      </c>
      <c r="S29" t="s">
        <v>30</v>
      </c>
    </row>
    <row r="30" spans="1:19" x14ac:dyDescent="0.2">
      <c r="A30" t="s">
        <v>21</v>
      </c>
      <c r="B30" t="s">
        <v>95</v>
      </c>
      <c r="C30" t="s">
        <v>95</v>
      </c>
      <c r="D30" t="s">
        <v>111</v>
      </c>
      <c r="E30" t="s">
        <v>111</v>
      </c>
      <c r="F30" t="s">
        <v>112</v>
      </c>
      <c r="G30" t="s">
        <v>25</v>
      </c>
      <c r="H30" t="s">
        <v>26</v>
      </c>
      <c r="I30">
        <v>48</v>
      </c>
      <c r="J30">
        <v>0.45</v>
      </c>
      <c r="K30">
        <v>5.63</v>
      </c>
      <c r="L30">
        <v>188.65700000000001</v>
      </c>
      <c r="M30">
        <v>2.344228815319923E-6</v>
      </c>
      <c r="N30">
        <f t="shared" si="0"/>
        <v>5.622460410285778</v>
      </c>
      <c r="O30" t="s">
        <v>27</v>
      </c>
      <c r="P30" t="s">
        <v>28</v>
      </c>
      <c r="Q30">
        <v>0.44225517561181071</v>
      </c>
      <c r="R30" t="s">
        <v>104</v>
      </c>
      <c r="S30" t="s">
        <v>30</v>
      </c>
    </row>
    <row r="31" spans="1:19" x14ac:dyDescent="0.2">
      <c r="A31" t="s">
        <v>39</v>
      </c>
      <c r="B31" t="s">
        <v>45</v>
      </c>
      <c r="C31" t="s">
        <v>113</v>
      </c>
      <c r="D31" t="s">
        <v>114</v>
      </c>
      <c r="E31" t="s">
        <v>115</v>
      </c>
      <c r="F31" t="s">
        <v>116</v>
      </c>
      <c r="G31" t="s">
        <v>25</v>
      </c>
      <c r="H31" t="s">
        <v>26</v>
      </c>
      <c r="I31">
        <v>48</v>
      </c>
      <c r="J31">
        <v>6.5000000000000002E-2</v>
      </c>
      <c r="L31">
        <v>78.003000000000014</v>
      </c>
      <c r="N31">
        <f t="shared" si="0"/>
        <v>6.0791979493603288</v>
      </c>
      <c r="O31" t="s">
        <v>27</v>
      </c>
      <c r="P31" t="s">
        <v>56</v>
      </c>
      <c r="R31" t="s">
        <v>29</v>
      </c>
      <c r="S31" t="s">
        <v>117</v>
      </c>
    </row>
    <row r="32" spans="1:19" x14ac:dyDescent="0.2">
      <c r="A32" t="s">
        <v>39</v>
      </c>
      <c r="B32" t="s">
        <v>45</v>
      </c>
      <c r="C32" t="s">
        <v>118</v>
      </c>
      <c r="D32" t="s">
        <v>119</v>
      </c>
      <c r="E32" t="s">
        <v>120</v>
      </c>
      <c r="F32" t="s">
        <v>121</v>
      </c>
      <c r="G32" t="s">
        <v>25</v>
      </c>
      <c r="H32" t="s">
        <v>26</v>
      </c>
      <c r="I32">
        <v>48</v>
      </c>
      <c r="J32">
        <v>439</v>
      </c>
      <c r="L32">
        <v>224.11699999999999</v>
      </c>
      <c r="N32">
        <f t="shared" si="0"/>
        <v>2.7080102801848311</v>
      </c>
      <c r="O32" t="s">
        <v>27</v>
      </c>
      <c r="P32" t="s">
        <v>56</v>
      </c>
      <c r="R32" t="s">
        <v>29</v>
      </c>
      <c r="S32" t="s">
        <v>90</v>
      </c>
    </row>
    <row r="33" spans="1:19" x14ac:dyDescent="0.2">
      <c r="A33" t="s">
        <v>39</v>
      </c>
      <c r="B33" t="s">
        <v>45</v>
      </c>
      <c r="C33" t="s">
        <v>122</v>
      </c>
      <c r="D33" t="s">
        <v>123</v>
      </c>
      <c r="E33" t="s">
        <v>124</v>
      </c>
      <c r="F33" t="s">
        <v>125</v>
      </c>
      <c r="G33" t="s">
        <v>25</v>
      </c>
      <c r="H33" t="s">
        <v>26</v>
      </c>
      <c r="I33">
        <v>48</v>
      </c>
      <c r="J33">
        <v>18.43</v>
      </c>
      <c r="L33">
        <v>390.2700000000001</v>
      </c>
      <c r="N33">
        <f t="shared" si="0"/>
        <v>4.3258398331894963</v>
      </c>
      <c r="O33" t="s">
        <v>27</v>
      </c>
      <c r="P33" t="s">
        <v>56</v>
      </c>
      <c r="R33" t="s">
        <v>29</v>
      </c>
      <c r="S33" t="s">
        <v>48</v>
      </c>
    </row>
    <row r="34" spans="1:19" x14ac:dyDescent="0.2">
      <c r="A34" t="s">
        <v>21</v>
      </c>
      <c r="B34" t="s">
        <v>95</v>
      </c>
      <c r="C34" t="s">
        <v>95</v>
      </c>
      <c r="D34" t="s">
        <v>126</v>
      </c>
      <c r="E34" t="s">
        <v>126</v>
      </c>
      <c r="F34" t="s">
        <v>127</v>
      </c>
      <c r="G34" t="s">
        <v>25</v>
      </c>
      <c r="H34" t="s">
        <v>26</v>
      </c>
      <c r="I34">
        <v>48</v>
      </c>
      <c r="J34">
        <v>2.9899999999999999E-2</v>
      </c>
      <c r="K34">
        <v>6.99</v>
      </c>
      <c r="L34">
        <v>291.99200000000002</v>
      </c>
      <c r="M34">
        <v>1.023292992280754E-7</v>
      </c>
      <c r="N34">
        <f t="shared" si="0"/>
        <v>6.9896997644820367</v>
      </c>
      <c r="O34" t="s">
        <v>27</v>
      </c>
      <c r="P34" t="s">
        <v>28</v>
      </c>
      <c r="Q34">
        <v>2.9879336740204179E-2</v>
      </c>
      <c r="R34" t="s">
        <v>104</v>
      </c>
      <c r="S34" t="s">
        <v>30</v>
      </c>
    </row>
    <row r="35" spans="1:19" x14ac:dyDescent="0.2">
      <c r="A35" t="s">
        <v>39</v>
      </c>
      <c r="B35" t="s">
        <v>49</v>
      </c>
      <c r="C35" t="s">
        <v>50</v>
      </c>
      <c r="D35" t="s">
        <v>128</v>
      </c>
      <c r="E35" t="s">
        <v>129</v>
      </c>
      <c r="F35" t="s">
        <v>130</v>
      </c>
      <c r="G35" t="s">
        <v>25</v>
      </c>
      <c r="H35" t="s">
        <v>26</v>
      </c>
      <c r="I35">
        <v>48</v>
      </c>
      <c r="J35">
        <v>5.9</v>
      </c>
      <c r="L35">
        <v>410.45000000000022</v>
      </c>
      <c r="N35">
        <f t="shared" si="0"/>
        <v>4.8424082483598241</v>
      </c>
      <c r="O35" t="s">
        <v>27</v>
      </c>
      <c r="P35" t="s">
        <v>56</v>
      </c>
      <c r="R35" t="s">
        <v>29</v>
      </c>
    </row>
    <row r="36" spans="1:19" x14ac:dyDescent="0.2">
      <c r="A36" t="s">
        <v>21</v>
      </c>
      <c r="B36" t="s">
        <v>31</v>
      </c>
      <c r="C36" t="s">
        <v>31</v>
      </c>
      <c r="D36" t="s">
        <v>131</v>
      </c>
      <c r="E36" t="s">
        <v>131</v>
      </c>
      <c r="F36" t="s">
        <v>132</v>
      </c>
      <c r="G36" t="s">
        <v>25</v>
      </c>
      <c r="H36" t="s">
        <v>26</v>
      </c>
      <c r="I36">
        <v>48</v>
      </c>
      <c r="J36">
        <v>0.26</v>
      </c>
      <c r="K36">
        <v>6.04</v>
      </c>
      <c r="L36">
        <v>286.30799999999999</v>
      </c>
      <c r="M36">
        <v>9.1201083935590964E-7</v>
      </c>
      <c r="N36">
        <f t="shared" si="0"/>
        <v>6.0418601352492249</v>
      </c>
      <c r="O36" t="s">
        <v>27</v>
      </c>
      <c r="P36" t="s">
        <v>28</v>
      </c>
      <c r="Q36">
        <v>0.26111599939431179</v>
      </c>
      <c r="R36" t="s">
        <v>29</v>
      </c>
      <c r="S36" t="s">
        <v>30</v>
      </c>
    </row>
    <row r="37" spans="1:19" x14ac:dyDescent="0.2">
      <c r="A37" t="s">
        <v>39</v>
      </c>
      <c r="B37" t="s">
        <v>49</v>
      </c>
      <c r="C37" t="s">
        <v>50</v>
      </c>
      <c r="D37" t="s">
        <v>133</v>
      </c>
      <c r="E37" t="s">
        <v>134</v>
      </c>
      <c r="F37" t="s">
        <v>135</v>
      </c>
      <c r="G37" t="s">
        <v>25</v>
      </c>
      <c r="H37" t="s">
        <v>26</v>
      </c>
      <c r="I37">
        <v>48</v>
      </c>
      <c r="J37">
        <v>0.86</v>
      </c>
      <c r="L37">
        <v>288.34899999999999</v>
      </c>
      <c r="N37">
        <f t="shared" si="0"/>
        <v>5.5254199983641596</v>
      </c>
      <c r="O37" t="s">
        <v>27</v>
      </c>
      <c r="P37" t="s">
        <v>56</v>
      </c>
      <c r="R37" t="s">
        <v>34</v>
      </c>
    </row>
    <row r="38" spans="1:19" x14ac:dyDescent="0.2">
      <c r="A38" t="s">
        <v>39</v>
      </c>
      <c r="B38" t="s">
        <v>49</v>
      </c>
      <c r="C38" t="s">
        <v>50</v>
      </c>
      <c r="D38" t="s">
        <v>136</v>
      </c>
      <c r="E38" t="s">
        <v>137</v>
      </c>
      <c r="F38" t="s">
        <v>138</v>
      </c>
      <c r="G38" t="s">
        <v>25</v>
      </c>
      <c r="H38" t="s">
        <v>26</v>
      </c>
      <c r="I38">
        <v>48</v>
      </c>
      <c r="J38">
        <v>70</v>
      </c>
      <c r="L38">
        <v>452.53100000000012</v>
      </c>
      <c r="N38">
        <f t="shared" si="0"/>
        <v>3.810550295278992</v>
      </c>
      <c r="O38" t="s">
        <v>27</v>
      </c>
      <c r="P38" t="s">
        <v>56</v>
      </c>
      <c r="R38" t="s">
        <v>29</v>
      </c>
    </row>
    <row r="39" spans="1:19" x14ac:dyDescent="0.2">
      <c r="A39" t="s">
        <v>39</v>
      </c>
      <c r="B39" t="s">
        <v>49</v>
      </c>
      <c r="C39" t="s">
        <v>50</v>
      </c>
      <c r="D39" t="s">
        <v>139</v>
      </c>
      <c r="E39" t="s">
        <v>140</v>
      </c>
      <c r="F39" t="s">
        <v>141</v>
      </c>
      <c r="G39" t="s">
        <v>25</v>
      </c>
      <c r="H39" t="s">
        <v>26</v>
      </c>
      <c r="I39">
        <v>48</v>
      </c>
      <c r="J39">
        <v>4.5</v>
      </c>
      <c r="L39">
        <v>186.238</v>
      </c>
      <c r="N39">
        <f t="shared" si="0"/>
        <v>4.6168557853540966</v>
      </c>
      <c r="O39" t="s">
        <v>27</v>
      </c>
      <c r="P39" t="s">
        <v>56</v>
      </c>
      <c r="R39" t="s">
        <v>34</v>
      </c>
    </row>
    <row r="40" spans="1:19" x14ac:dyDescent="0.2">
      <c r="A40" t="s">
        <v>21</v>
      </c>
      <c r="B40" t="s">
        <v>95</v>
      </c>
      <c r="C40" t="s">
        <v>95</v>
      </c>
      <c r="D40" t="s">
        <v>142</v>
      </c>
      <c r="E40" t="s">
        <v>142</v>
      </c>
      <c r="F40" t="s">
        <v>143</v>
      </c>
      <c r="G40" t="s">
        <v>25</v>
      </c>
      <c r="H40" t="s">
        <v>26</v>
      </c>
      <c r="I40">
        <v>48</v>
      </c>
      <c r="J40">
        <v>2.0200000000000001E-3</v>
      </c>
      <c r="K40">
        <v>8.16</v>
      </c>
      <c r="L40">
        <v>291.99200000000002</v>
      </c>
      <c r="M40">
        <v>6.9183097091893626E-9</v>
      </c>
      <c r="N40">
        <f t="shared" si="0"/>
        <v>8.1600195833598423</v>
      </c>
      <c r="O40" t="s">
        <v>27</v>
      </c>
      <c r="P40" t="s">
        <v>28</v>
      </c>
      <c r="Q40">
        <v>2.0200910886056201E-3</v>
      </c>
      <c r="R40" t="s">
        <v>104</v>
      </c>
      <c r="S40" t="s">
        <v>30</v>
      </c>
    </row>
    <row r="41" spans="1:19" x14ac:dyDescent="0.2">
      <c r="A41" t="s">
        <v>21</v>
      </c>
      <c r="B41" t="s">
        <v>95</v>
      </c>
      <c r="C41" t="s">
        <v>95</v>
      </c>
      <c r="D41" t="s">
        <v>144</v>
      </c>
      <c r="E41" t="s">
        <v>144</v>
      </c>
      <c r="F41" t="s">
        <v>145</v>
      </c>
      <c r="G41" t="s">
        <v>25</v>
      </c>
      <c r="H41" t="s">
        <v>26</v>
      </c>
      <c r="I41">
        <v>48</v>
      </c>
      <c r="J41">
        <v>1.31E-3</v>
      </c>
      <c r="K41">
        <v>8.44</v>
      </c>
      <c r="L41">
        <v>360.88200000000012</v>
      </c>
      <c r="M41">
        <v>3.6307805477010181E-9</v>
      </c>
      <c r="N41">
        <f t="shared" si="0"/>
        <v>8.4400939252908973</v>
      </c>
      <c r="O41" t="s">
        <v>27</v>
      </c>
      <c r="P41" t="s">
        <v>28</v>
      </c>
      <c r="Q41">
        <v>1.310283345615439E-3</v>
      </c>
      <c r="R41" t="s">
        <v>104</v>
      </c>
      <c r="S41" t="s">
        <v>30</v>
      </c>
    </row>
    <row r="42" spans="1:19" x14ac:dyDescent="0.2">
      <c r="A42" t="s">
        <v>21</v>
      </c>
      <c r="B42" t="s">
        <v>95</v>
      </c>
      <c r="C42" t="s">
        <v>95</v>
      </c>
      <c r="D42" t="s">
        <v>146</v>
      </c>
      <c r="E42" t="s">
        <v>146</v>
      </c>
      <c r="F42" t="s">
        <v>147</v>
      </c>
      <c r="G42" t="s">
        <v>25</v>
      </c>
      <c r="H42" t="s">
        <v>26</v>
      </c>
      <c r="I42">
        <v>48</v>
      </c>
      <c r="J42">
        <v>2.9899999999999999E-2</v>
      </c>
      <c r="K42">
        <v>6.99</v>
      </c>
      <c r="L42">
        <v>291.99200000000008</v>
      </c>
      <c r="M42">
        <v>1.023292992280754E-7</v>
      </c>
      <c r="N42">
        <f t="shared" si="0"/>
        <v>6.9896997644820367</v>
      </c>
      <c r="O42" t="s">
        <v>27</v>
      </c>
      <c r="P42" t="s">
        <v>28</v>
      </c>
      <c r="Q42">
        <v>2.9879336740204189E-2</v>
      </c>
      <c r="R42" t="s">
        <v>104</v>
      </c>
      <c r="S42" t="s">
        <v>30</v>
      </c>
    </row>
    <row r="43" spans="1:19" x14ac:dyDescent="0.2">
      <c r="A43" t="s">
        <v>39</v>
      </c>
      <c r="B43" t="s">
        <v>45</v>
      </c>
      <c r="C43" t="s">
        <v>148</v>
      </c>
      <c r="D43" t="s">
        <v>149</v>
      </c>
      <c r="E43" t="s">
        <v>150</v>
      </c>
      <c r="F43" t="s">
        <v>151</v>
      </c>
      <c r="G43" t="s">
        <v>25</v>
      </c>
      <c r="H43" t="s">
        <v>26</v>
      </c>
      <c r="I43">
        <v>48</v>
      </c>
      <c r="J43">
        <v>240</v>
      </c>
      <c r="L43">
        <v>215.16799999999989</v>
      </c>
      <c r="N43">
        <f t="shared" si="0"/>
        <v>2.9525664413757333</v>
      </c>
      <c r="O43" t="s">
        <v>27</v>
      </c>
      <c r="P43" t="s">
        <v>56</v>
      </c>
      <c r="R43" t="s">
        <v>29</v>
      </c>
      <c r="S43" t="s">
        <v>48</v>
      </c>
    </row>
    <row r="44" spans="1:19" x14ac:dyDescent="0.2">
      <c r="A44" t="s">
        <v>39</v>
      </c>
      <c r="B44" t="s">
        <v>45</v>
      </c>
      <c r="C44" t="s">
        <v>152</v>
      </c>
      <c r="D44" t="s">
        <v>153</v>
      </c>
      <c r="E44" t="s">
        <v>150</v>
      </c>
      <c r="F44" t="s">
        <v>151</v>
      </c>
      <c r="G44" t="s">
        <v>25</v>
      </c>
      <c r="H44" t="s">
        <v>26</v>
      </c>
      <c r="I44">
        <v>48</v>
      </c>
      <c r="J44">
        <v>289</v>
      </c>
      <c r="L44">
        <v>215.16799999999989</v>
      </c>
      <c r="N44">
        <f t="shared" si="0"/>
        <v>2.8718798403307915</v>
      </c>
      <c r="O44" t="s">
        <v>27</v>
      </c>
      <c r="P44" t="s">
        <v>56</v>
      </c>
      <c r="R44" t="s">
        <v>29</v>
      </c>
      <c r="S44" t="s">
        <v>154</v>
      </c>
    </row>
    <row r="45" spans="1:19" x14ac:dyDescent="0.2">
      <c r="A45" t="s">
        <v>21</v>
      </c>
      <c r="B45" t="s">
        <v>95</v>
      </c>
      <c r="C45" t="s">
        <v>95</v>
      </c>
      <c r="D45" t="s">
        <v>155</v>
      </c>
      <c r="E45" t="s">
        <v>155</v>
      </c>
      <c r="F45" t="s">
        <v>156</v>
      </c>
      <c r="G45" t="s">
        <v>25</v>
      </c>
      <c r="H45" t="s">
        <v>26</v>
      </c>
      <c r="I45">
        <v>48</v>
      </c>
      <c r="J45">
        <v>5.5100000000000003E-2</v>
      </c>
      <c r="K45">
        <v>6.67</v>
      </c>
      <c r="L45">
        <v>257.54700000000003</v>
      </c>
      <c r="M45">
        <v>2.1379620895022319E-7</v>
      </c>
      <c r="N45">
        <f t="shared" si="0"/>
        <v>6.6697048965760963</v>
      </c>
      <c r="O45" t="s">
        <v>27</v>
      </c>
      <c r="P45" t="s">
        <v>28</v>
      </c>
      <c r="Q45">
        <v>5.5062572226503147E-2</v>
      </c>
      <c r="R45" t="s">
        <v>104</v>
      </c>
      <c r="S45" t="s">
        <v>30</v>
      </c>
    </row>
    <row r="46" spans="1:19" x14ac:dyDescent="0.2">
      <c r="A46" t="s">
        <v>21</v>
      </c>
      <c r="B46" t="s">
        <v>95</v>
      </c>
      <c r="C46" t="s">
        <v>95</v>
      </c>
      <c r="D46" t="s">
        <v>157</v>
      </c>
      <c r="E46" t="s">
        <v>157</v>
      </c>
      <c r="F46" t="s">
        <v>158</v>
      </c>
      <c r="G46" t="s">
        <v>25</v>
      </c>
      <c r="H46" t="s">
        <v>26</v>
      </c>
      <c r="I46">
        <v>48</v>
      </c>
      <c r="J46">
        <v>1.01E-2</v>
      </c>
      <c r="K46">
        <v>7.51</v>
      </c>
      <c r="L46">
        <v>326.43700000000001</v>
      </c>
      <c r="M46">
        <v>3.090295432513592E-8</v>
      </c>
      <c r="N46">
        <f t="shared" si="0"/>
        <v>7.5094780041948042</v>
      </c>
      <c r="O46" t="s">
        <v>27</v>
      </c>
      <c r="P46" t="s">
        <v>28</v>
      </c>
      <c r="Q46">
        <v>1.0087867701034391E-2</v>
      </c>
      <c r="R46" t="s">
        <v>104</v>
      </c>
      <c r="S46" t="s">
        <v>30</v>
      </c>
    </row>
    <row r="47" spans="1:19" x14ac:dyDescent="0.2">
      <c r="A47" t="s">
        <v>21</v>
      </c>
      <c r="B47" t="s">
        <v>22</v>
      </c>
      <c r="C47" t="s">
        <v>22</v>
      </c>
      <c r="D47" t="s">
        <v>159</v>
      </c>
      <c r="E47" t="s">
        <v>159</v>
      </c>
      <c r="F47" t="s">
        <v>160</v>
      </c>
      <c r="G47" t="s">
        <v>25</v>
      </c>
      <c r="H47" t="s">
        <v>26</v>
      </c>
      <c r="I47">
        <v>48</v>
      </c>
      <c r="J47">
        <v>9.1899999999999996E-2</v>
      </c>
      <c r="K47">
        <v>6.72</v>
      </c>
      <c r="L47">
        <v>485.79500000000002</v>
      </c>
      <c r="M47">
        <v>1.905460717963248E-7</v>
      </c>
      <c r="N47">
        <f t="shared" si="0"/>
        <v>6.7231375291703115</v>
      </c>
      <c r="O47" t="s">
        <v>27</v>
      </c>
      <c r="P47" t="s">
        <v>28</v>
      </c>
      <c r="Q47">
        <v>9.2566328948295626E-2</v>
      </c>
      <c r="R47" t="s">
        <v>29</v>
      </c>
      <c r="S47" t="s">
        <v>30</v>
      </c>
    </row>
    <row r="48" spans="1:19" x14ac:dyDescent="0.2">
      <c r="A48" t="s">
        <v>39</v>
      </c>
      <c r="B48" t="s">
        <v>45</v>
      </c>
      <c r="C48" t="s">
        <v>161</v>
      </c>
      <c r="D48" t="s">
        <v>162</v>
      </c>
      <c r="E48" t="s">
        <v>163</v>
      </c>
      <c r="F48" t="s">
        <v>164</v>
      </c>
      <c r="G48" t="s">
        <v>25</v>
      </c>
      <c r="H48" t="s">
        <v>26</v>
      </c>
      <c r="I48">
        <v>48</v>
      </c>
      <c r="J48">
        <v>66</v>
      </c>
      <c r="L48">
        <v>574.46200000000022</v>
      </c>
      <c r="N48">
        <f t="shared" si="0"/>
        <v>3.9397173703525246</v>
      </c>
      <c r="O48" t="s">
        <v>27</v>
      </c>
      <c r="P48" t="s">
        <v>56</v>
      </c>
      <c r="R48" t="s">
        <v>29</v>
      </c>
      <c r="S48" t="s">
        <v>165</v>
      </c>
    </row>
    <row r="49" spans="1:22" x14ac:dyDescent="0.2">
      <c r="A49" t="s">
        <v>39</v>
      </c>
      <c r="B49" t="s">
        <v>45</v>
      </c>
      <c r="C49" t="s">
        <v>166</v>
      </c>
      <c r="D49" t="s">
        <v>167</v>
      </c>
      <c r="E49" t="s">
        <v>168</v>
      </c>
      <c r="F49" t="s">
        <v>169</v>
      </c>
      <c r="G49" t="s">
        <v>25</v>
      </c>
      <c r="H49" t="s">
        <v>26</v>
      </c>
      <c r="I49">
        <v>48</v>
      </c>
      <c r="J49">
        <v>0.21</v>
      </c>
      <c r="L49">
        <v>692.64100000000019</v>
      </c>
      <c r="N49">
        <f t="shared" si="0"/>
        <v>6.5182889007479945</v>
      </c>
      <c r="O49" t="s">
        <v>27</v>
      </c>
      <c r="P49" t="s">
        <v>56</v>
      </c>
      <c r="R49" t="s">
        <v>29</v>
      </c>
      <c r="S49" t="s">
        <v>170</v>
      </c>
    </row>
    <row r="50" spans="1:22" x14ac:dyDescent="0.2">
      <c r="A50" t="s">
        <v>21</v>
      </c>
      <c r="B50" t="s">
        <v>22</v>
      </c>
      <c r="C50" t="s">
        <v>22</v>
      </c>
      <c r="D50" t="s">
        <v>171</v>
      </c>
      <c r="E50" t="s">
        <v>171</v>
      </c>
      <c r="F50" t="s">
        <v>172</v>
      </c>
      <c r="G50" t="s">
        <v>25</v>
      </c>
      <c r="H50" t="s">
        <v>26</v>
      </c>
      <c r="I50">
        <v>48</v>
      </c>
      <c r="J50">
        <v>5.3999999999999999E-2</v>
      </c>
      <c r="K50">
        <v>7.02</v>
      </c>
      <c r="L50">
        <v>564.69100000000003</v>
      </c>
      <c r="M50">
        <v>9.5499258602143688E-8</v>
      </c>
      <c r="N50">
        <f t="shared" si="0"/>
        <v>7.0194171062183468</v>
      </c>
      <c r="O50" t="s">
        <v>27</v>
      </c>
      <c r="P50" t="s">
        <v>28</v>
      </c>
      <c r="Q50">
        <v>5.3927571839303121E-2</v>
      </c>
      <c r="R50" t="s">
        <v>29</v>
      </c>
      <c r="S50" t="s">
        <v>30</v>
      </c>
    </row>
    <row r="51" spans="1:22" x14ac:dyDescent="0.2">
      <c r="A51" t="s">
        <v>39</v>
      </c>
      <c r="B51" t="s">
        <v>45</v>
      </c>
      <c r="C51" t="s">
        <v>173</v>
      </c>
      <c r="D51" t="s">
        <v>174</v>
      </c>
      <c r="E51" t="s">
        <v>175</v>
      </c>
      <c r="F51" t="s">
        <v>176</v>
      </c>
      <c r="G51" t="s">
        <v>25</v>
      </c>
      <c r="H51" t="s">
        <v>26</v>
      </c>
      <c r="I51">
        <v>48</v>
      </c>
      <c r="J51">
        <v>730</v>
      </c>
      <c r="L51">
        <v>115.02500000000001</v>
      </c>
      <c r="N51">
        <f t="shared" si="0"/>
        <v>2.197469381816378</v>
      </c>
      <c r="O51" t="s">
        <v>27</v>
      </c>
      <c r="P51" t="s">
        <v>56</v>
      </c>
      <c r="R51" t="s">
        <v>29</v>
      </c>
      <c r="S51" t="s">
        <v>48</v>
      </c>
    </row>
    <row r="52" spans="1:22" x14ac:dyDescent="0.2">
      <c r="A52" t="s">
        <v>21</v>
      </c>
      <c r="B52" t="s">
        <v>95</v>
      </c>
      <c r="C52" t="s">
        <v>95</v>
      </c>
      <c r="D52" t="s">
        <v>177</v>
      </c>
      <c r="E52" t="s">
        <v>177</v>
      </c>
      <c r="F52" t="s">
        <v>178</v>
      </c>
      <c r="G52" t="s">
        <v>25</v>
      </c>
      <c r="H52" t="s">
        <v>26</v>
      </c>
      <c r="I52">
        <v>48</v>
      </c>
      <c r="J52">
        <v>0.16</v>
      </c>
      <c r="K52">
        <v>6.21</v>
      </c>
      <c r="L52">
        <v>257.54700000000003</v>
      </c>
      <c r="M52">
        <v>6.1659500186148219E-7</v>
      </c>
      <c r="N52">
        <f t="shared" si="0"/>
        <v>6.2067365127719567</v>
      </c>
      <c r="O52" t="s">
        <v>27</v>
      </c>
      <c r="P52" t="s">
        <v>28</v>
      </c>
      <c r="Q52">
        <v>0.15880219294441919</v>
      </c>
      <c r="R52" t="s">
        <v>104</v>
      </c>
      <c r="S52" t="s">
        <v>30</v>
      </c>
    </row>
    <row r="53" spans="1:22" x14ac:dyDescent="0.2">
      <c r="A53" t="s">
        <v>21</v>
      </c>
      <c r="B53" t="s">
        <v>31</v>
      </c>
      <c r="C53" t="s">
        <v>31</v>
      </c>
      <c r="D53" t="s">
        <v>179</v>
      </c>
      <c r="E53" t="s">
        <v>179</v>
      </c>
      <c r="F53" t="s">
        <v>180</v>
      </c>
      <c r="G53" t="s">
        <v>25</v>
      </c>
      <c r="H53" t="s">
        <v>26</v>
      </c>
      <c r="I53">
        <v>48</v>
      </c>
      <c r="J53">
        <v>45.99</v>
      </c>
      <c r="K53">
        <v>3.74</v>
      </c>
      <c r="L53">
        <v>252.73099999999999</v>
      </c>
      <c r="M53">
        <v>1.8197008586099829E-4</v>
      </c>
      <c r="N53">
        <f t="shared" si="0"/>
        <v>3.7399951062010852</v>
      </c>
      <c r="O53" t="s">
        <v>27</v>
      </c>
      <c r="P53" t="s">
        <v>28</v>
      </c>
      <c r="Q53">
        <v>45.989481769735953</v>
      </c>
      <c r="R53" t="s">
        <v>34</v>
      </c>
      <c r="S53" t="s">
        <v>30</v>
      </c>
      <c r="U53" t="s">
        <v>181</v>
      </c>
      <c r="V53">
        <v>7</v>
      </c>
    </row>
    <row r="54" spans="1:22" x14ac:dyDescent="0.2">
      <c r="A54" t="s">
        <v>21</v>
      </c>
      <c r="B54" t="s">
        <v>31</v>
      </c>
      <c r="C54" t="s">
        <v>31</v>
      </c>
      <c r="D54" t="s">
        <v>182</v>
      </c>
      <c r="E54" t="s">
        <v>182</v>
      </c>
      <c r="F54" t="s">
        <v>183</v>
      </c>
      <c r="G54" t="s">
        <v>25</v>
      </c>
      <c r="H54" t="s">
        <v>26</v>
      </c>
      <c r="I54">
        <v>48</v>
      </c>
      <c r="J54">
        <v>5.1999999999999998E-2</v>
      </c>
      <c r="K54">
        <v>6.72</v>
      </c>
      <c r="L54">
        <v>272.77300000000002</v>
      </c>
      <c r="M54">
        <v>1.905460717963248E-7</v>
      </c>
      <c r="N54">
        <f t="shared" si="0"/>
        <v>6.7197980365309853</v>
      </c>
      <c r="O54" t="s">
        <v>27</v>
      </c>
      <c r="P54" t="s">
        <v>28</v>
      </c>
      <c r="Q54">
        <v>5.197582364209892E-2</v>
      </c>
      <c r="R54" t="s">
        <v>34</v>
      </c>
      <c r="S54" t="s">
        <v>30</v>
      </c>
      <c r="U54" t="s">
        <v>184</v>
      </c>
      <c r="V54">
        <v>31</v>
      </c>
    </row>
    <row r="55" spans="1:22" x14ac:dyDescent="0.2">
      <c r="A55" t="s">
        <v>39</v>
      </c>
      <c r="B55" t="s">
        <v>40</v>
      </c>
      <c r="C55" t="s">
        <v>185</v>
      </c>
      <c r="D55" t="s">
        <v>186</v>
      </c>
      <c r="E55" t="s">
        <v>187</v>
      </c>
      <c r="F55" t="s">
        <v>188</v>
      </c>
      <c r="G55" t="s">
        <v>25</v>
      </c>
      <c r="H55" t="s">
        <v>26</v>
      </c>
      <c r="I55">
        <v>48</v>
      </c>
      <c r="J55">
        <v>0.31</v>
      </c>
      <c r="L55">
        <v>368.36900000000009</v>
      </c>
      <c r="N55">
        <f t="shared" si="0"/>
        <v>6.0749213812860434</v>
      </c>
      <c r="O55" t="s">
        <v>27</v>
      </c>
      <c r="P55" t="s">
        <v>56</v>
      </c>
      <c r="R55" t="s">
        <v>29</v>
      </c>
      <c r="S55" t="s">
        <v>44</v>
      </c>
    </row>
    <row r="56" spans="1:22" x14ac:dyDescent="0.2">
      <c r="A56" t="s">
        <v>39</v>
      </c>
      <c r="B56" t="s">
        <v>49</v>
      </c>
      <c r="C56" t="s">
        <v>50</v>
      </c>
      <c r="D56" t="s">
        <v>186</v>
      </c>
      <c r="E56" t="s">
        <v>187</v>
      </c>
      <c r="F56" t="s">
        <v>188</v>
      </c>
      <c r="G56" t="s">
        <v>25</v>
      </c>
      <c r="H56" t="s">
        <v>26</v>
      </c>
      <c r="I56">
        <v>48</v>
      </c>
      <c r="J56">
        <v>0.25</v>
      </c>
      <c r="L56">
        <v>368.36900000000009</v>
      </c>
      <c r="N56">
        <f t="shared" si="0"/>
        <v>6.1683430664482781</v>
      </c>
      <c r="O56" t="s">
        <v>27</v>
      </c>
      <c r="P56" t="s">
        <v>56</v>
      </c>
      <c r="R56" t="s">
        <v>29</v>
      </c>
    </row>
    <row r="57" spans="1:22" x14ac:dyDescent="0.2">
      <c r="A57" t="s">
        <v>39</v>
      </c>
      <c r="B57" t="s">
        <v>40</v>
      </c>
      <c r="C57" t="s">
        <v>189</v>
      </c>
      <c r="D57" t="s">
        <v>190</v>
      </c>
      <c r="E57" t="s">
        <v>191</v>
      </c>
      <c r="F57" t="s">
        <v>192</v>
      </c>
      <c r="G57" t="s">
        <v>25</v>
      </c>
      <c r="H57" t="s">
        <v>26</v>
      </c>
      <c r="I57">
        <v>48</v>
      </c>
      <c r="J57">
        <v>0.74</v>
      </c>
      <c r="L57">
        <v>434.64200000000039</v>
      </c>
      <c r="N57">
        <f t="shared" si="0"/>
        <v>5.7688999707001862</v>
      </c>
      <c r="O57" t="s">
        <v>27</v>
      </c>
      <c r="P57" t="s">
        <v>56</v>
      </c>
      <c r="R57" t="s">
        <v>29</v>
      </c>
      <c r="S57" t="s">
        <v>44</v>
      </c>
    </row>
    <row r="58" spans="1:22" x14ac:dyDescent="0.2">
      <c r="A58" t="s">
        <v>39</v>
      </c>
      <c r="B58" t="s">
        <v>49</v>
      </c>
      <c r="C58" t="s">
        <v>50</v>
      </c>
      <c r="D58" t="s">
        <v>190</v>
      </c>
      <c r="E58" t="s">
        <v>191</v>
      </c>
      <c r="F58" t="s">
        <v>192</v>
      </c>
      <c r="G58" t="s">
        <v>25</v>
      </c>
      <c r="H58" t="s">
        <v>26</v>
      </c>
      <c r="I58">
        <v>48</v>
      </c>
      <c r="J58">
        <v>63.245550000000001</v>
      </c>
      <c r="L58">
        <v>434.64200000000039</v>
      </c>
      <c r="N58">
        <f t="shared" si="0"/>
        <v>3.837101716764062</v>
      </c>
      <c r="O58" t="s">
        <v>27</v>
      </c>
      <c r="P58" t="s">
        <v>56</v>
      </c>
      <c r="R58" t="s">
        <v>29</v>
      </c>
    </row>
    <row r="59" spans="1:22" x14ac:dyDescent="0.2">
      <c r="A59" t="s">
        <v>39</v>
      </c>
      <c r="B59" t="s">
        <v>40</v>
      </c>
      <c r="C59" t="s">
        <v>193</v>
      </c>
      <c r="D59" t="s">
        <v>194</v>
      </c>
      <c r="E59" t="s">
        <v>195</v>
      </c>
      <c r="F59" t="s">
        <v>196</v>
      </c>
      <c r="G59" t="s">
        <v>25</v>
      </c>
      <c r="H59" t="s">
        <v>26</v>
      </c>
      <c r="I59">
        <v>48</v>
      </c>
      <c r="J59">
        <v>38</v>
      </c>
      <c r="L59">
        <v>398.47700000000032</v>
      </c>
      <c r="N59">
        <f t="shared" si="0"/>
        <v>4.0206196624619883</v>
      </c>
      <c r="O59" t="s">
        <v>27</v>
      </c>
      <c r="P59" t="s">
        <v>56</v>
      </c>
      <c r="R59" t="s">
        <v>29</v>
      </c>
      <c r="S59" t="s">
        <v>44</v>
      </c>
    </row>
    <row r="60" spans="1:22" x14ac:dyDescent="0.2">
      <c r="A60" t="s">
        <v>39</v>
      </c>
      <c r="B60" t="s">
        <v>49</v>
      </c>
      <c r="C60" t="s">
        <v>50</v>
      </c>
      <c r="D60" t="s">
        <v>194</v>
      </c>
      <c r="E60" t="s">
        <v>195</v>
      </c>
      <c r="F60" t="s">
        <v>196</v>
      </c>
      <c r="G60" t="s">
        <v>25</v>
      </c>
      <c r="H60" t="s">
        <v>26</v>
      </c>
      <c r="I60">
        <v>48</v>
      </c>
      <c r="J60">
        <v>33</v>
      </c>
      <c r="L60">
        <v>398.47700000000032</v>
      </c>
      <c r="N60">
        <f t="shared" si="0"/>
        <v>4.0818893192009114</v>
      </c>
      <c r="O60" t="s">
        <v>27</v>
      </c>
      <c r="P60" t="s">
        <v>56</v>
      </c>
      <c r="R60" t="s">
        <v>29</v>
      </c>
    </row>
    <row r="61" spans="1:22" x14ac:dyDescent="0.2">
      <c r="A61" t="s">
        <v>21</v>
      </c>
      <c r="B61" t="s">
        <v>22</v>
      </c>
      <c r="C61" t="s">
        <v>22</v>
      </c>
      <c r="D61" t="s">
        <v>197</v>
      </c>
      <c r="E61" t="s">
        <v>197</v>
      </c>
      <c r="F61" t="s">
        <v>97</v>
      </c>
      <c r="G61" t="s">
        <v>25</v>
      </c>
      <c r="H61" t="s">
        <v>26</v>
      </c>
      <c r="I61">
        <v>48</v>
      </c>
      <c r="J61">
        <v>7.9</v>
      </c>
      <c r="K61">
        <v>4.84</v>
      </c>
      <c r="L61">
        <v>543.87500000000011</v>
      </c>
      <c r="M61">
        <v>1.445439770745928E-5</v>
      </c>
      <c r="N61">
        <f t="shared" si="0"/>
        <v>4.8378720050103317</v>
      </c>
      <c r="O61" t="s">
        <v>27</v>
      </c>
      <c r="P61" t="s">
        <v>28</v>
      </c>
      <c r="Q61">
        <v>7.8613855531444177</v>
      </c>
      <c r="R61" t="s">
        <v>29</v>
      </c>
      <c r="S61" t="s">
        <v>30</v>
      </c>
    </row>
    <row r="62" spans="1:22" x14ac:dyDescent="0.2">
      <c r="A62" t="s">
        <v>39</v>
      </c>
      <c r="B62" t="s">
        <v>45</v>
      </c>
      <c r="C62" t="s">
        <v>198</v>
      </c>
      <c r="D62" t="s">
        <v>199</v>
      </c>
      <c r="E62" t="s">
        <v>197</v>
      </c>
      <c r="F62" t="s">
        <v>97</v>
      </c>
      <c r="G62" t="s">
        <v>25</v>
      </c>
      <c r="H62" t="s">
        <v>26</v>
      </c>
      <c r="I62">
        <v>48</v>
      </c>
      <c r="J62">
        <v>0.6</v>
      </c>
      <c r="L62">
        <v>543.87500000000011</v>
      </c>
      <c r="M62">
        <v>1.1031946678924381E-6</v>
      </c>
      <c r="N62">
        <f t="shared" si="0"/>
        <v>5.9573478459171296</v>
      </c>
      <c r="O62" t="s">
        <v>27</v>
      </c>
      <c r="P62" t="s">
        <v>43</v>
      </c>
      <c r="Q62">
        <v>0.6</v>
      </c>
      <c r="R62" t="s">
        <v>29</v>
      </c>
      <c r="S62" t="s">
        <v>48</v>
      </c>
    </row>
    <row r="63" spans="1:22" x14ac:dyDescent="0.2">
      <c r="A63" t="s">
        <v>21</v>
      </c>
      <c r="B63" t="s">
        <v>31</v>
      </c>
      <c r="C63" t="s">
        <v>31</v>
      </c>
      <c r="D63" t="s">
        <v>200</v>
      </c>
      <c r="E63" t="s">
        <v>200</v>
      </c>
      <c r="F63" t="s">
        <v>201</v>
      </c>
      <c r="G63" t="s">
        <v>25</v>
      </c>
      <c r="H63" t="s">
        <v>26</v>
      </c>
      <c r="I63">
        <v>48</v>
      </c>
      <c r="J63">
        <v>11.42</v>
      </c>
      <c r="K63">
        <v>4.3</v>
      </c>
      <c r="L63">
        <v>228.291</v>
      </c>
      <c r="M63">
        <v>5.0118723362727251E-5</v>
      </c>
      <c r="N63">
        <f t="shared" si="0"/>
        <v>4.3008226865669057</v>
      </c>
      <c r="O63" t="s">
        <v>27</v>
      </c>
      <c r="P63" t="s">
        <v>28</v>
      </c>
      <c r="Q63">
        <v>11.44165347520037</v>
      </c>
      <c r="R63" t="s">
        <v>104</v>
      </c>
      <c r="S63" t="s">
        <v>30</v>
      </c>
    </row>
    <row r="64" spans="1:22" x14ac:dyDescent="0.2">
      <c r="A64" t="s">
        <v>39</v>
      </c>
      <c r="B64" t="s">
        <v>40</v>
      </c>
      <c r="C64" t="s">
        <v>202</v>
      </c>
      <c r="D64" t="s">
        <v>203</v>
      </c>
      <c r="E64" t="s">
        <v>204</v>
      </c>
      <c r="F64" t="s">
        <v>205</v>
      </c>
      <c r="G64" t="s">
        <v>25</v>
      </c>
      <c r="H64" t="s">
        <v>26</v>
      </c>
      <c r="I64">
        <v>48</v>
      </c>
      <c r="J64">
        <v>81</v>
      </c>
      <c r="L64">
        <v>327.572</v>
      </c>
      <c r="N64">
        <f t="shared" si="0"/>
        <v>3.6068217534368632</v>
      </c>
      <c r="O64" t="s">
        <v>27</v>
      </c>
      <c r="P64" t="s">
        <v>56</v>
      </c>
      <c r="R64" t="s">
        <v>29</v>
      </c>
      <c r="S64" t="s">
        <v>44</v>
      </c>
    </row>
    <row r="65" spans="1:19" x14ac:dyDescent="0.2">
      <c r="A65" t="s">
        <v>39</v>
      </c>
      <c r="B65" t="s">
        <v>40</v>
      </c>
      <c r="C65" t="s">
        <v>206</v>
      </c>
      <c r="D65" t="s">
        <v>207</v>
      </c>
      <c r="E65" t="s">
        <v>83</v>
      </c>
      <c r="F65" t="s">
        <v>208</v>
      </c>
      <c r="G65" t="s">
        <v>25</v>
      </c>
      <c r="H65" t="s">
        <v>26</v>
      </c>
      <c r="I65">
        <v>48</v>
      </c>
      <c r="J65">
        <v>12</v>
      </c>
      <c r="L65">
        <v>266.31799999999993</v>
      </c>
      <c r="N65">
        <f t="shared" si="0"/>
        <v>4.3462192746402426</v>
      </c>
      <c r="O65" t="s">
        <v>27</v>
      </c>
      <c r="P65" t="s">
        <v>56</v>
      </c>
      <c r="R65" t="s">
        <v>29</v>
      </c>
      <c r="S6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Unified_Units_pEC50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Dorota Prokop</cp:lastModifiedBy>
  <dcterms:created xsi:type="dcterms:W3CDTF">2026-05-18T13:15:10Z</dcterms:created>
  <dcterms:modified xsi:type="dcterms:W3CDTF">2026-05-19T11:47:24Z</dcterms:modified>
</cp:coreProperties>
</file>