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la\Documents\Semestr4\pracownia\"/>
    </mc:Choice>
  </mc:AlternateContent>
  <xr:revisionPtr revIDLastSave="0" documentId="8_{7E7E13F9-D873-4A7B-94FC-64B811FAA29D}" xr6:coauthVersionLast="47" xr6:coauthVersionMax="47" xr10:uidLastSave="{00000000-0000-0000-0000-000000000000}"/>
  <bookViews>
    <workbookView xWindow="11442" yWindow="0" windowWidth="11676" windowHeight="12318" xr2:uid="{00000000-000D-0000-FFFF-FFFF00000000}"/>
  </bookViews>
  <sheets>
    <sheet name="Unified_Units_pEC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3" i="1"/>
  <c r="N4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40" i="1"/>
  <c r="N41" i="1"/>
  <c r="N2" i="1"/>
</calcChain>
</file>

<file path=xl/sharedStrings.xml><?xml version="1.0" encoding="utf-8"?>
<sst xmlns="http://schemas.openxmlformats.org/spreadsheetml/2006/main" count="495" uniqueCount="149">
  <si>
    <t>record_type</t>
  </si>
  <si>
    <t>source_group</t>
  </si>
  <si>
    <t>source_detail</t>
  </si>
  <si>
    <t>compound_label</t>
  </si>
  <si>
    <t>cas</t>
  </si>
  <si>
    <t>smiles</t>
  </si>
  <si>
    <t>organism</t>
  </si>
  <si>
    <t>endpoint</t>
  </si>
  <si>
    <t>duration_h</t>
  </si>
  <si>
    <t>raw_value_mg_L</t>
  </si>
  <si>
    <t>raw_value_neglog_mol_L</t>
  </si>
  <si>
    <t>mol_weight_g_mol</t>
  </si>
  <si>
    <t>ec50_mol_L_standardized</t>
  </si>
  <si>
    <t>pEC50_standardized</t>
  </si>
  <si>
    <t>preferred_modeling_unit</t>
  </si>
  <si>
    <t>conversion_basis</t>
  </si>
  <si>
    <t>backcalc_mg_L_from_standardized</t>
  </si>
  <si>
    <t>fr_relevance_flag</t>
  </si>
  <si>
    <t>note</t>
  </si>
  <si>
    <t>Unnamed: 19</t>
  </si>
  <si>
    <t>Converted from existing -log10(mol/L)</t>
  </si>
  <si>
    <t>T.E.S.T</t>
  </si>
  <si>
    <t>List_A, List_B</t>
  </si>
  <si>
    <t>101-55-3</t>
  </si>
  <si>
    <t>BrC1=CC=C(OC=2C=CC=CC2)C=C1</t>
  </si>
  <si>
    <t>Daphnia magna</t>
  </si>
  <si>
    <t>48 h EC50</t>
  </si>
  <si>
    <t>pEC50 = -log10(mol/L)</t>
  </si>
  <si>
    <t>used_existing_-log10(mol/L)</t>
  </si>
  <si>
    <t>FR_likely</t>
  </si>
  <si>
    <t>T.E.S.T software (should be verified before final modeling).</t>
  </si>
  <si>
    <t>List_A</t>
  </si>
  <si>
    <t>101-84-8</t>
  </si>
  <si>
    <t>O(C=1C=CC=CC1)C=2C=CC=CC2</t>
  </si>
  <si>
    <t>candidate_review</t>
  </si>
  <si>
    <t>106-41-2</t>
  </si>
  <si>
    <t>BrC1=CC=C(O)C=C1</t>
  </si>
  <si>
    <t>115-86-6</t>
  </si>
  <si>
    <t>O=P(OC=1C=CC=CC1)(OC=2C=CC=CC2)OC=3C=CC=CC3</t>
  </si>
  <si>
    <t>literature</t>
  </si>
  <si>
    <t>Cristale_2013_Table4</t>
  </si>
  <si>
    <t>Environment International 59 (2013) Table 9</t>
  </si>
  <si>
    <t>TPhP</t>
  </si>
  <si>
    <t>converted_from_mg/L_using_MW_from_SMILES</t>
  </si>
  <si>
    <t>Single-compound acute toxicity from Table 4</t>
  </si>
  <si>
    <t>Waaijers_2013_Table1</t>
  </si>
  <si>
    <t>Liu_SSRN_Table3</t>
  </si>
  <si>
    <t>Table 3 used for  set</t>
  </si>
  <si>
    <t>Environment International 59 (2013) Table 4</t>
  </si>
  <si>
    <t>TCEP</t>
  </si>
  <si>
    <t>115-96-8</t>
  </si>
  <si>
    <t>C(CCl)OP(=O)(OCCCl)OCCCl</t>
  </si>
  <si>
    <t>mg/L_available_but_no_MW_no_conversion</t>
  </si>
  <si>
    <t>Pyridafenthion</t>
  </si>
  <si>
    <t>119-12-0</t>
  </si>
  <si>
    <t>CCOP(=S)(OCC)OC1=NN(C(=O)C=C1)C2=CC=CC=C2</t>
  </si>
  <si>
    <t>Malathion</t>
  </si>
  <si>
    <t>121-75-5</t>
  </si>
  <si>
    <t>CCOC(=O)CC(C(=O)OCC)SP(=S)(OC)OC</t>
  </si>
  <si>
    <t>1241-94-7</t>
  </si>
  <si>
    <t>O=P(OC=1C=CC=CC1)(OC=2C=CC=CC2)OCC(CC)CCCC</t>
  </si>
  <si>
    <t>EHDPP</t>
  </si>
  <si>
    <t>TDBP</t>
  </si>
  <si>
    <t>126-72-7</t>
  </si>
  <si>
    <t>C(C(CBr)Br)OP(=O)(OCC(CBr)Br)OCC(CBr)Br</t>
  </si>
  <si>
    <t>126-73-8</t>
  </si>
  <si>
    <t>O=P(OCCCC)(OCCCC)OCCCC</t>
  </si>
  <si>
    <t>TNBP</t>
  </si>
  <si>
    <t>List_B</t>
  </si>
  <si>
    <t>1352876-39-1</t>
  </si>
  <si>
    <t>BrC=1C=C(C=C(Br)C1O)C(C2=CC(Br)=C(O)C(Br)=C2)(C)C</t>
  </si>
  <si>
    <t>Environment International 59 (2013) Table 8</t>
  </si>
  <si>
    <t>TDCP</t>
  </si>
  <si>
    <t>13674-87-8</t>
  </si>
  <si>
    <t>C(C(CCl)OP(=O)(OC(CCl)CCl)OC(CCl)CCl)Cl</t>
  </si>
  <si>
    <t>15862-07-4</t>
  </si>
  <si>
    <t>ClC1=CC(Cl)=C(C=C1Cl)C=2C=CC=CC2</t>
  </si>
  <si>
    <t>review_FR_relevance</t>
  </si>
  <si>
    <t>182346-21-0</t>
  </si>
  <si>
    <t>BrC1=CC=C(OC2=CC=C(Br)C(Br)=C2Br)C(Br)=C1</t>
  </si>
  <si>
    <t>18259-05-7</t>
  </si>
  <si>
    <t>ClC=1C(Cl)=C(Cl)C(=C(Cl)C1Cl)C=2C=CC=CC2</t>
  </si>
  <si>
    <t>2051-60-7</t>
  </si>
  <si>
    <t>ClC=1C=CC=CC1C=2C=CC=CC2</t>
  </si>
  <si>
    <t>2051-62-9</t>
  </si>
  <si>
    <t>ClC=1C=CC(=CC1)C=2C=CC=CC2</t>
  </si>
  <si>
    <t>2437-79-8</t>
  </si>
  <si>
    <t>ClC=1C=CC(=C(Cl)C1)C2=CC=C(Cl)C=C2Cl</t>
  </si>
  <si>
    <t>TDMPP</t>
  </si>
  <si>
    <t>25155-23-1</t>
  </si>
  <si>
    <t>CC1=CC(=C(C=C1)OP(=O)(OC2=C(C=C(C=C2)C)C)OC3=C(C=C(C=C3)C)C)C</t>
  </si>
  <si>
    <t>2528-36-1</t>
  </si>
  <si>
    <t>O=P(OC=1C=CC=CC1)(OCCCC)OCCCC</t>
  </si>
  <si>
    <t>Iprobenfos</t>
  </si>
  <si>
    <t>26087-47-8</t>
  </si>
  <si>
    <t>CC(C)OP(=O)(OC(C)C)SCC1=CC=CC=C1</t>
  </si>
  <si>
    <t>TIPP</t>
  </si>
  <si>
    <t>26967-76-0</t>
  </si>
  <si>
    <t>CC(C)C1=CC=C(C=C1)OP(=O)(OC2=CC=C(C=C2)C(C)C)OC3=CC=C(C=C3)C(C)C</t>
  </si>
  <si>
    <t>Diethyl dithiophosphate</t>
  </si>
  <si>
    <t>298-06-6</t>
  </si>
  <si>
    <t>CCOP(=S)(OCC)S</t>
  </si>
  <si>
    <t>32598-13-3</t>
  </si>
  <si>
    <t>ClC=1C=CC(=CC1Cl)C2=CC=C(Cl)C(Cl)=C2</t>
  </si>
  <si>
    <t>35065-27-1</t>
  </si>
  <si>
    <t>ClC=1C=C(Cl)C(=CC1Cl)C=2C=C(Cl)C(Cl)=CC2Cl</t>
  </si>
  <si>
    <t>35693-99-3</t>
  </si>
  <si>
    <t>ClC1=CC=C(Cl)C(=C1)C=2C=C(Cl)C=CC2Cl</t>
  </si>
  <si>
    <t>37680-65-2</t>
  </si>
  <si>
    <t>ClC=1C=CC(Cl)=C(C1)C=2C=CC=CC2Cl</t>
  </si>
  <si>
    <t>37680-73-2</t>
  </si>
  <si>
    <t>ClC1=CC=C(Cl)C(=C1)C=2C=C(Cl)C(Cl)=CC2Cl</t>
  </si>
  <si>
    <t>5436-43-1</t>
  </si>
  <si>
    <t>BrC1=CC=C(OC2=CC=C(Br)C=C2Br)C(Br)=C1</t>
  </si>
  <si>
    <t>Science of the Total Environment 463-464 (2013) Table 10</t>
  </si>
  <si>
    <t>RDP</t>
  </si>
  <si>
    <t>57583-54-7</t>
  </si>
  <si>
    <t>C1=CC=C(C=C1)OP(=O)(OC2=CC=CC=C2)OC3=CC(=CC=C3)OP(=O)(OC4=CC=CC=C4)OC5=CC=CC=C5</t>
  </si>
  <si>
    <t>EC50 &gt; emulsion/Sw average 66 mg/L</t>
  </si>
  <si>
    <t>Science of the Total Environment 463-464 (2013) Table 13</t>
  </si>
  <si>
    <t>BDP</t>
  </si>
  <si>
    <t>5945-33-5</t>
  </si>
  <si>
    <t>CC(C)(C1=CC=C(C=C1)OP(=O)(OC2=CC=CC=C2)OC3=CC=CC=C3)C4=CC=C(C=C4)OP(=O)(OC5=CC=CC=C5)OC6=CC=CC=C6</t>
  </si>
  <si>
    <t>NSw (0.21 mg/L; 25% immobility)</t>
  </si>
  <si>
    <t>60348-60-9</t>
  </si>
  <si>
    <t>BrC1=CC=C(OC2=CC(Br)=C(Br)C=C2Br)C(Br)=C1</t>
  </si>
  <si>
    <t>7012-37-5</t>
  </si>
  <si>
    <t>ClC=1C=CC(=CC1)C2=CC=C(Cl)C=C2Cl</t>
  </si>
  <si>
    <t>75-25-2</t>
  </si>
  <si>
    <t>BrC(Br)Br</t>
  </si>
  <si>
    <t>Converted from mg/L + MW</t>
  </si>
  <si>
    <t>77-47-4</t>
  </si>
  <si>
    <t>ClC=1C(Cl)=C(Cl)C(Cl)(Cl)C1Cl</t>
  </si>
  <si>
    <t>No conversion possible</t>
  </si>
  <si>
    <t>Environment International 59 (2013) Table 11</t>
  </si>
  <si>
    <t>TCP</t>
  </si>
  <si>
    <t>78-32-0</t>
  </si>
  <si>
    <t>CC1=CC=C(C=C1)OP(=O)(OC2=CC=C(C=C2)C)OC3=CC=C(C=C3)C</t>
  </si>
  <si>
    <t>Environment International 59 (2013) Table 10</t>
  </si>
  <si>
    <t>TEHP</t>
  </si>
  <si>
    <t>78-42-2</t>
  </si>
  <si>
    <t>CCCCC(CC)COP(=O)(OCC(CC)CCCC)OCC(CC)CCCC</t>
  </si>
  <si>
    <t>79-94-7</t>
  </si>
  <si>
    <t>80-05-7</t>
  </si>
  <si>
    <t>OC1=CC=C(C=C1)C(C2=CC=C(O)C=C2)(C)C</t>
  </si>
  <si>
    <t>Environment International 59 (2013) Table 5</t>
  </si>
  <si>
    <t>TCPP</t>
  </si>
  <si>
    <t>13674-84-5</t>
  </si>
  <si>
    <t>CC(CCl)OP(=O)(OC(C)CCl)OC(C)CCl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</si>
</sst>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topLeftCell="A21" zoomScale="105" workbookViewId="0">
      <selection activeCell="C38" sqref="C38"/>
    </sheetView>
  </sheetViews>
  <sheetFormatPr defaultColWidth="8.83984375" defaultRowHeight="14.4" x14ac:dyDescent="0.55000000000000004"/>
  <cols>
    <col min="3" max="3" width="31.734375" customWidth="1"/>
    <col min="4" max="4" width="19.9453125" customWidth="1"/>
    <col min="5" max="5" width="18.89453125" customWidth="1"/>
    <col min="6" max="6" width="30.1015625" customWidth="1"/>
    <col min="14" max="14" width="22.1015625" customWidth="1"/>
  </cols>
  <sheetData>
    <row r="1" spans="1:22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>
        <v>34</v>
      </c>
    </row>
    <row r="2" spans="1:22" s="1" customFormat="1" x14ac:dyDescent="0.55000000000000004">
      <c r="A2" s="2" t="s">
        <v>21</v>
      </c>
      <c r="B2" s="2" t="s">
        <v>22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25</v>
      </c>
      <c r="H2" s="2" t="s">
        <v>26</v>
      </c>
      <c r="I2" s="2">
        <v>48</v>
      </c>
      <c r="J2" s="2">
        <v>0.26</v>
      </c>
      <c r="K2" s="2">
        <v>5.98</v>
      </c>
      <c r="L2" s="2">
        <v>249.107</v>
      </c>
      <c r="M2" s="2">
        <v>1.047128548050899E-6</v>
      </c>
      <c r="N2" s="2">
        <f>-LOG10((J2/1000)/L2)</f>
        <v>5.9814125835747589</v>
      </c>
      <c r="O2" s="2" t="s">
        <v>27</v>
      </c>
      <c r="P2" s="2" t="s">
        <v>28</v>
      </c>
      <c r="Q2" s="2">
        <v>0.26084705121931517</v>
      </c>
      <c r="R2" s="2" t="s">
        <v>29</v>
      </c>
      <c r="S2" s="2" t="s">
        <v>30</v>
      </c>
      <c r="T2" s="2"/>
      <c r="U2" s="2"/>
      <c r="V2" s="2"/>
    </row>
    <row r="3" spans="1:22" s="1" customFormat="1" x14ac:dyDescent="0.55000000000000004">
      <c r="A3" s="2" t="s">
        <v>21</v>
      </c>
      <c r="B3" s="2" t="s">
        <v>31</v>
      </c>
      <c r="C3" s="2" t="s">
        <v>31</v>
      </c>
      <c r="D3" s="2" t="s">
        <v>32</v>
      </c>
      <c r="E3" s="2" t="s">
        <v>32</v>
      </c>
      <c r="F3" s="2" t="s">
        <v>33</v>
      </c>
      <c r="G3" s="2" t="s">
        <v>25</v>
      </c>
      <c r="H3" s="2" t="s">
        <v>26</v>
      </c>
      <c r="I3" s="2">
        <v>48</v>
      </c>
      <c r="J3" s="2">
        <v>0.63</v>
      </c>
      <c r="K3" s="2">
        <v>5.43</v>
      </c>
      <c r="L3" s="2">
        <v>170.21100000000001</v>
      </c>
      <c r="M3" s="2">
        <v>3.715352290971728E-6</v>
      </c>
      <c r="N3" s="2">
        <f>-LOG10((J3/1000)/L3)</f>
        <v>5.4316470737740206</v>
      </c>
      <c r="O3" s="2" t="s">
        <v>27</v>
      </c>
      <c r="P3" s="2" t="s">
        <v>28</v>
      </c>
      <c r="Q3" s="2">
        <v>0.63239382879858874</v>
      </c>
      <c r="R3" s="2" t="s">
        <v>34</v>
      </c>
      <c r="S3" s="2" t="s">
        <v>30</v>
      </c>
      <c r="T3" s="2"/>
      <c r="U3" s="2"/>
      <c r="V3" s="2"/>
    </row>
    <row r="4" spans="1:22" s="1" customFormat="1" x14ac:dyDescent="0.55000000000000004">
      <c r="A4" s="2" t="s">
        <v>21</v>
      </c>
      <c r="B4" s="2" t="s">
        <v>31</v>
      </c>
      <c r="C4" s="2" t="s">
        <v>31</v>
      </c>
      <c r="D4" s="2" t="s">
        <v>35</v>
      </c>
      <c r="E4" s="2" t="s">
        <v>35</v>
      </c>
      <c r="F4" s="2" t="s">
        <v>36</v>
      </c>
      <c r="G4" s="2" t="s">
        <v>25</v>
      </c>
      <c r="H4" s="2" t="s">
        <v>26</v>
      </c>
      <c r="I4" s="2">
        <v>48</v>
      </c>
      <c r="J4" s="2">
        <v>5.94</v>
      </c>
      <c r="K4" s="2">
        <v>4.46</v>
      </c>
      <c r="L4" s="2">
        <v>173.00899999999999</v>
      </c>
      <c r="M4" s="2">
        <v>3.4673685045253168E-5</v>
      </c>
      <c r="N4" s="2">
        <f>-LOG10((J4/1000)/L4)</f>
        <v>4.4642822509144837</v>
      </c>
      <c r="O4" s="2" t="s">
        <v>27</v>
      </c>
      <c r="P4" s="2" t="s">
        <v>28</v>
      </c>
      <c r="Q4" s="2">
        <v>5.9988595759942047</v>
      </c>
      <c r="R4" s="2" t="s">
        <v>34</v>
      </c>
      <c r="S4" s="2" t="s">
        <v>30</v>
      </c>
      <c r="T4" s="2"/>
      <c r="U4" s="2"/>
      <c r="V4" s="2"/>
    </row>
    <row r="5" spans="1:22" s="1" customFormat="1" x14ac:dyDescent="0.55000000000000004">
      <c r="A5" s="2" t="s">
        <v>39</v>
      </c>
      <c r="B5" s="2" t="s">
        <v>40</v>
      </c>
      <c r="C5" s="2" t="s">
        <v>41</v>
      </c>
      <c r="D5" s="2" t="s">
        <v>42</v>
      </c>
      <c r="E5" s="2" t="s">
        <v>37</v>
      </c>
      <c r="F5" s="2" t="s">
        <v>38</v>
      </c>
      <c r="G5" s="2" t="s">
        <v>25</v>
      </c>
      <c r="H5" s="2" t="s">
        <v>26</v>
      </c>
      <c r="I5" s="2">
        <v>48</v>
      </c>
      <c r="J5" s="2">
        <v>1.7</v>
      </c>
      <c r="K5" s="2">
        <v>5.51</v>
      </c>
      <c r="L5" s="2">
        <v>326.28800000000001</v>
      </c>
      <c r="M5" s="2">
        <v>5.2101211199921538E-6</v>
      </c>
      <c r="N5" s="2">
        <f>-LOG10((J5/1000)/L5)</f>
        <v>5.2831521805137545</v>
      </c>
      <c r="O5" s="2" t="s">
        <v>27</v>
      </c>
      <c r="P5" s="2" t="s">
        <v>43</v>
      </c>
      <c r="Q5" s="2">
        <v>1.7</v>
      </c>
      <c r="R5" s="2" t="s">
        <v>29</v>
      </c>
      <c r="S5" s="2" t="s">
        <v>44</v>
      </c>
      <c r="T5" s="2"/>
      <c r="U5" s="2"/>
      <c r="V5" s="2"/>
    </row>
    <row r="6" spans="1:22" s="1" customFormat="1" x14ac:dyDescent="0.55000000000000004">
      <c r="A6" s="2" t="s">
        <v>39</v>
      </c>
      <c r="B6" s="2" t="s">
        <v>40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25</v>
      </c>
      <c r="H6" s="2" t="s">
        <v>26</v>
      </c>
      <c r="I6" s="2">
        <v>48</v>
      </c>
      <c r="J6" s="2">
        <v>381</v>
      </c>
      <c r="K6" s="2"/>
      <c r="L6" s="2">
        <v>285.49099999999999</v>
      </c>
      <c r="M6" s="2"/>
      <c r="N6" s="2">
        <f>-LOG10((J6/1000)/L6)</f>
        <v>2.874667446146367</v>
      </c>
      <c r="O6" s="2" t="s">
        <v>27</v>
      </c>
      <c r="P6" s="2" t="s">
        <v>52</v>
      </c>
      <c r="Q6" s="2"/>
      <c r="R6" s="2" t="s">
        <v>29</v>
      </c>
      <c r="S6" s="2" t="s">
        <v>44</v>
      </c>
      <c r="T6" s="2"/>
      <c r="U6" s="2"/>
      <c r="V6" s="2"/>
    </row>
    <row r="7" spans="1:22" s="1" customFormat="1" x14ac:dyDescent="0.55000000000000004">
      <c r="A7" s="2" t="s">
        <v>39</v>
      </c>
      <c r="B7" s="2" t="s">
        <v>46</v>
      </c>
      <c r="C7" s="2" t="s">
        <v>47</v>
      </c>
      <c r="D7" s="2" t="s">
        <v>53</v>
      </c>
      <c r="E7" s="2" t="s">
        <v>54</v>
      </c>
      <c r="F7" s="2" t="s">
        <v>55</v>
      </c>
      <c r="G7" s="2" t="s">
        <v>25</v>
      </c>
      <c r="H7" s="2" t="s">
        <v>26</v>
      </c>
      <c r="I7" s="2">
        <v>48</v>
      </c>
      <c r="J7" s="2">
        <v>5.1000000000000004E-4</v>
      </c>
      <c r="K7" s="2"/>
      <c r="L7" s="2">
        <v>340.34100000000001</v>
      </c>
      <c r="M7" s="2"/>
      <c r="N7" s="2">
        <f>-LOG10((J7/1000)/L7)</f>
        <v>8.824344094482413</v>
      </c>
      <c r="O7" s="2" t="s">
        <v>27</v>
      </c>
      <c r="P7" s="2" t="s">
        <v>52</v>
      </c>
      <c r="Q7" s="2"/>
      <c r="R7" s="2" t="s">
        <v>34</v>
      </c>
      <c r="S7" s="2"/>
      <c r="T7" s="2"/>
      <c r="U7" s="2"/>
      <c r="V7" s="2"/>
    </row>
    <row r="8" spans="1:22" s="1" customFormat="1" x14ac:dyDescent="0.55000000000000004">
      <c r="A8" s="2" t="s">
        <v>39</v>
      </c>
      <c r="B8" s="2" t="s">
        <v>46</v>
      </c>
      <c r="C8" s="2" t="s">
        <v>47</v>
      </c>
      <c r="D8" s="2" t="s">
        <v>56</v>
      </c>
      <c r="E8" s="2" t="s">
        <v>57</v>
      </c>
      <c r="F8" s="2" t="s">
        <v>58</v>
      </c>
      <c r="G8" s="2" t="s">
        <v>25</v>
      </c>
      <c r="H8" s="2" t="s">
        <v>26</v>
      </c>
      <c r="I8" s="2">
        <v>48</v>
      </c>
      <c r="J8" s="2">
        <v>1.918E-3</v>
      </c>
      <c r="K8" s="2"/>
      <c r="L8" s="2">
        <v>330.36399999999998</v>
      </c>
      <c r="M8" s="2"/>
      <c r="N8" s="2">
        <f>-LOG10((J8/1000)/L8)</f>
        <v>8.2361441130135358</v>
      </c>
      <c r="O8" s="2" t="s">
        <v>27</v>
      </c>
      <c r="P8" s="2" t="s">
        <v>52</v>
      </c>
      <c r="Q8" s="2"/>
      <c r="R8" s="2" t="s">
        <v>34</v>
      </c>
      <c r="S8" s="2"/>
      <c r="T8" s="2"/>
      <c r="U8" s="2"/>
      <c r="V8" s="2"/>
    </row>
    <row r="9" spans="1:22" s="1" customFormat="1" x14ac:dyDescent="0.55000000000000004">
      <c r="A9" s="2" t="s">
        <v>21</v>
      </c>
      <c r="B9" s="2" t="s">
        <v>22</v>
      </c>
      <c r="C9" s="2" t="s">
        <v>22</v>
      </c>
      <c r="D9" s="2" t="s">
        <v>61</v>
      </c>
      <c r="E9" s="2" t="s">
        <v>59</v>
      </c>
      <c r="F9" s="2" t="s">
        <v>60</v>
      </c>
      <c r="G9" s="2" t="s">
        <v>25</v>
      </c>
      <c r="H9" s="2" t="s">
        <v>26</v>
      </c>
      <c r="I9" s="2">
        <v>48</v>
      </c>
      <c r="J9" s="2">
        <v>0.15</v>
      </c>
      <c r="K9" s="2">
        <v>6.38</v>
      </c>
      <c r="L9" s="2">
        <v>362.40600000000018</v>
      </c>
      <c r="M9" s="2">
        <v>4.1686938347033552E-7</v>
      </c>
      <c r="N9" s="2">
        <f>-LOG10((J9/1000)/L9)</f>
        <v>6.3831041201955649</v>
      </c>
      <c r="O9" s="2" t="s">
        <v>27</v>
      </c>
      <c r="P9" s="2" t="s">
        <v>28</v>
      </c>
      <c r="Q9" s="2">
        <v>0.15107596578595051</v>
      </c>
      <c r="R9" s="2" t="s">
        <v>29</v>
      </c>
      <c r="S9" s="2" t="s">
        <v>30</v>
      </c>
      <c r="T9" s="2"/>
      <c r="U9" s="2"/>
      <c r="V9" s="2"/>
    </row>
    <row r="10" spans="1:22" s="1" customFormat="1" x14ac:dyDescent="0.55000000000000004">
      <c r="A10" s="2" t="s">
        <v>39</v>
      </c>
      <c r="B10" s="2" t="s">
        <v>46</v>
      </c>
      <c r="C10" s="2" t="s">
        <v>47</v>
      </c>
      <c r="D10" s="2" t="s">
        <v>62</v>
      </c>
      <c r="E10" s="2" t="s">
        <v>63</v>
      </c>
      <c r="F10" s="2" t="s">
        <v>64</v>
      </c>
      <c r="G10" s="2" t="s">
        <v>25</v>
      </c>
      <c r="H10" s="2" t="s">
        <v>26</v>
      </c>
      <c r="I10" s="2">
        <v>48</v>
      </c>
      <c r="J10" s="2">
        <v>4.2</v>
      </c>
      <c r="K10" s="2"/>
      <c r="L10" s="2">
        <v>697.61300000000006</v>
      </c>
      <c r="M10" s="2"/>
      <c r="N10" s="2">
        <f>-LOG10((J10/1000)/L10)</f>
        <v>5.2203652746683238</v>
      </c>
      <c r="O10" s="2" t="s">
        <v>27</v>
      </c>
      <c r="P10" s="2" t="s">
        <v>52</v>
      </c>
      <c r="Q10" s="2"/>
      <c r="R10" s="2" t="s">
        <v>29</v>
      </c>
      <c r="S10" s="2"/>
      <c r="T10" s="2"/>
      <c r="U10" s="2"/>
      <c r="V10" s="2"/>
    </row>
    <row r="11" spans="1:22" s="1" customFormat="1" x14ac:dyDescent="0.55000000000000004">
      <c r="A11" s="2" t="s">
        <v>39</v>
      </c>
      <c r="B11" s="2" t="s">
        <v>46</v>
      </c>
      <c r="C11" s="2" t="s">
        <v>47</v>
      </c>
      <c r="D11" s="2" t="s">
        <v>67</v>
      </c>
      <c r="E11" s="2" t="s">
        <v>65</v>
      </c>
      <c r="F11" s="2" t="s">
        <v>66</v>
      </c>
      <c r="G11" s="2" t="s">
        <v>25</v>
      </c>
      <c r="H11" s="2" t="s">
        <v>26</v>
      </c>
      <c r="I11" s="2">
        <v>48</v>
      </c>
      <c r="J11" s="2">
        <v>7.6</v>
      </c>
      <c r="K11" s="2">
        <v>4.8600000000000003</v>
      </c>
      <c r="L11" s="2">
        <v>266.31799999999993</v>
      </c>
      <c r="M11" s="2">
        <v>2.8537312536141012E-5</v>
      </c>
      <c r="N11" s="2">
        <f>-LOG10((J11/1000)/L11)</f>
        <v>4.5445869284070755</v>
      </c>
      <c r="O11" s="2" t="s">
        <v>27</v>
      </c>
      <c r="P11" s="2" t="s">
        <v>43</v>
      </c>
      <c r="Q11" s="2">
        <v>7.6</v>
      </c>
      <c r="R11" s="2" t="s">
        <v>29</v>
      </c>
      <c r="S11" s="2"/>
      <c r="T11" s="2"/>
      <c r="U11" s="2"/>
      <c r="V11" s="2"/>
    </row>
    <row r="12" spans="1:22" s="1" customFormat="1" x14ac:dyDescent="0.55000000000000004">
      <c r="A12" s="2" t="s">
        <v>21</v>
      </c>
      <c r="B12" s="2" t="s">
        <v>68</v>
      </c>
      <c r="C12" s="2" t="s">
        <v>68</v>
      </c>
      <c r="D12" s="2" t="s">
        <v>69</v>
      </c>
      <c r="E12" s="2" t="s">
        <v>69</v>
      </c>
      <c r="F12" s="2" t="s">
        <v>70</v>
      </c>
      <c r="G12" s="2" t="s">
        <v>25</v>
      </c>
      <c r="H12" s="2" t="s">
        <v>26</v>
      </c>
      <c r="I12" s="2">
        <v>48</v>
      </c>
      <c r="J12" s="2">
        <v>7.9</v>
      </c>
      <c r="K12" s="2">
        <v>4.84</v>
      </c>
      <c r="L12" s="2">
        <v>543.87500000000011</v>
      </c>
      <c r="M12" s="2">
        <v>1.445439770745928E-5</v>
      </c>
      <c r="N12" s="2">
        <f>-LOG10((J12/1000)/L12)</f>
        <v>4.8378720050103317</v>
      </c>
      <c r="O12" s="2" t="s">
        <v>27</v>
      </c>
      <c r="P12" s="2" t="s">
        <v>28</v>
      </c>
      <c r="Q12" s="2">
        <v>7.8613855531444177</v>
      </c>
      <c r="R12" s="2" t="s">
        <v>34</v>
      </c>
      <c r="S12" s="2" t="s">
        <v>30</v>
      </c>
      <c r="T12" s="2"/>
      <c r="U12" s="2"/>
      <c r="V12" s="2"/>
    </row>
    <row r="13" spans="1:22" s="1" customFormat="1" x14ac:dyDescent="0.55000000000000004">
      <c r="A13" s="2" t="s">
        <v>39</v>
      </c>
      <c r="B13" s="2" t="s">
        <v>40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25</v>
      </c>
      <c r="H13" s="2" t="s">
        <v>26</v>
      </c>
      <c r="I13" s="2">
        <v>48</v>
      </c>
      <c r="J13" s="2">
        <v>7.9</v>
      </c>
      <c r="K13" s="2"/>
      <c r="L13" s="2">
        <v>430.90699999999998</v>
      </c>
      <c r="M13" s="2"/>
      <c r="N13" s="2">
        <f>-LOG10((J13/1000)/L13)</f>
        <v>4.7367564578842121</v>
      </c>
      <c r="O13" s="2" t="s">
        <v>27</v>
      </c>
      <c r="P13" s="2" t="s">
        <v>52</v>
      </c>
      <c r="Q13" s="2"/>
      <c r="R13" s="2" t="s">
        <v>29</v>
      </c>
      <c r="S13" s="2" t="s">
        <v>44</v>
      </c>
      <c r="T13" s="2"/>
      <c r="U13" s="2"/>
      <c r="V13" s="2"/>
    </row>
    <row r="14" spans="1:22" s="1" customFormat="1" x14ac:dyDescent="0.55000000000000004">
      <c r="A14" s="2" t="s">
        <v>21</v>
      </c>
      <c r="B14" s="2" t="s">
        <v>68</v>
      </c>
      <c r="C14" s="2" t="s">
        <v>68</v>
      </c>
      <c r="D14" s="2" t="s">
        <v>75</v>
      </c>
      <c r="E14" s="2" t="s">
        <v>75</v>
      </c>
      <c r="F14" s="2" t="s">
        <v>76</v>
      </c>
      <c r="G14" s="2" t="s">
        <v>25</v>
      </c>
      <c r="H14" s="2" t="s">
        <v>26</v>
      </c>
      <c r="I14" s="2">
        <v>48</v>
      </c>
      <c r="J14" s="2">
        <v>0.59</v>
      </c>
      <c r="K14" s="2">
        <v>5.64</v>
      </c>
      <c r="L14" s="2">
        <v>257.54700000000003</v>
      </c>
      <c r="M14" s="2">
        <v>2.2908676527677752E-6</v>
      </c>
      <c r="N14" s="2">
        <f>-LOG10((J14/1000)/L14)</f>
        <v>5.640004483785737</v>
      </c>
      <c r="O14" s="2" t="s">
        <v>27</v>
      </c>
      <c r="P14" s="2" t="s">
        <v>28</v>
      </c>
      <c r="Q14" s="2">
        <v>0.59000609136738214</v>
      </c>
      <c r="R14" s="2" t="s">
        <v>77</v>
      </c>
      <c r="S14" s="2" t="s">
        <v>30</v>
      </c>
      <c r="T14" s="2"/>
      <c r="U14" s="2"/>
      <c r="V14" s="2"/>
    </row>
    <row r="15" spans="1:22" s="1" customFormat="1" x14ac:dyDescent="0.55000000000000004">
      <c r="A15" s="2" t="s">
        <v>21</v>
      </c>
      <c r="B15" s="2" t="s">
        <v>22</v>
      </c>
      <c r="C15" s="2" t="s">
        <v>22</v>
      </c>
      <c r="D15" s="2" t="s">
        <v>78</v>
      </c>
      <c r="E15" s="2" t="s">
        <v>78</v>
      </c>
      <c r="F15" s="2" t="s">
        <v>79</v>
      </c>
      <c r="G15" s="2" t="s">
        <v>25</v>
      </c>
      <c r="H15" s="2" t="s">
        <v>26</v>
      </c>
      <c r="I15" s="2">
        <v>48</v>
      </c>
      <c r="J15" s="2">
        <v>5.3999999999999999E-2</v>
      </c>
      <c r="K15" s="2">
        <v>7.02</v>
      </c>
      <c r="L15" s="2">
        <v>564.69100000000003</v>
      </c>
      <c r="M15" s="2">
        <v>9.5499258602143688E-8</v>
      </c>
      <c r="N15" s="2">
        <f>-LOG10((J15/1000)/L15)</f>
        <v>7.0194171062183468</v>
      </c>
      <c r="O15" s="2" t="s">
        <v>27</v>
      </c>
      <c r="P15" s="2" t="s">
        <v>28</v>
      </c>
      <c r="Q15" s="2">
        <v>5.3927571839303121E-2</v>
      </c>
      <c r="R15" s="2" t="s">
        <v>29</v>
      </c>
      <c r="S15" s="2" t="s">
        <v>30</v>
      </c>
      <c r="T15" s="2"/>
      <c r="U15" s="2"/>
      <c r="V15" s="2"/>
    </row>
    <row r="16" spans="1:22" s="1" customFormat="1" x14ac:dyDescent="0.55000000000000004">
      <c r="A16" s="2" t="s">
        <v>21</v>
      </c>
      <c r="B16" s="2" t="s">
        <v>68</v>
      </c>
      <c r="C16" s="2" t="s">
        <v>68</v>
      </c>
      <c r="D16" s="2" t="s">
        <v>80</v>
      </c>
      <c r="E16" s="2" t="s">
        <v>80</v>
      </c>
      <c r="F16" s="2" t="s">
        <v>81</v>
      </c>
      <c r="G16" s="2" t="s">
        <v>25</v>
      </c>
      <c r="H16" s="2" t="s">
        <v>26</v>
      </c>
      <c r="I16" s="2">
        <v>48</v>
      </c>
      <c r="J16" s="2">
        <v>8.0099999999999998E-3</v>
      </c>
      <c r="K16" s="2">
        <v>7.61</v>
      </c>
      <c r="L16" s="2">
        <v>326.43700000000001</v>
      </c>
      <c r="M16" s="2">
        <v>2.4547089156850289E-8</v>
      </c>
      <c r="N16" s="2">
        <f>-LOG10((J16/1000)/L16)</f>
        <v>7.6101668618932097</v>
      </c>
      <c r="O16" s="2" t="s">
        <v>27</v>
      </c>
      <c r="P16" s="2" t="s">
        <v>28</v>
      </c>
      <c r="Q16" s="2">
        <v>8.0130781430947373E-3</v>
      </c>
      <c r="R16" s="2" t="s">
        <v>77</v>
      </c>
      <c r="S16" s="2" t="s">
        <v>30</v>
      </c>
      <c r="T16" s="2"/>
      <c r="U16" s="2"/>
      <c r="V16" s="2"/>
    </row>
    <row r="17" spans="1:22" s="1" customFormat="1" x14ac:dyDescent="0.55000000000000004">
      <c r="A17" s="2" t="s">
        <v>21</v>
      </c>
      <c r="B17" s="2" t="s">
        <v>68</v>
      </c>
      <c r="C17" s="2" t="s">
        <v>68</v>
      </c>
      <c r="D17" s="2" t="s">
        <v>82</v>
      </c>
      <c r="E17" s="2" t="s">
        <v>82</v>
      </c>
      <c r="F17" s="2" t="s">
        <v>83</v>
      </c>
      <c r="G17" s="2" t="s">
        <v>25</v>
      </c>
      <c r="H17" s="2" t="s">
        <v>26</v>
      </c>
      <c r="I17" s="2">
        <v>48</v>
      </c>
      <c r="J17" s="2">
        <v>0.71</v>
      </c>
      <c r="K17" s="2">
        <v>5.42</v>
      </c>
      <c r="L17" s="2">
        <v>188.65700000000001</v>
      </c>
      <c r="M17" s="2">
        <v>3.8018939632056128E-6</v>
      </c>
      <c r="N17" s="2">
        <f>-LOG10((J17/1000)/L17)</f>
        <v>5.4244145753420465</v>
      </c>
      <c r="O17" s="2" t="s">
        <v>27</v>
      </c>
      <c r="P17" s="2" t="s">
        <v>28</v>
      </c>
      <c r="Q17" s="2">
        <v>0.71725390941648126</v>
      </c>
      <c r="R17" s="2" t="s">
        <v>77</v>
      </c>
      <c r="S17" s="2" t="s">
        <v>30</v>
      </c>
      <c r="T17" s="2"/>
      <c r="U17" s="2"/>
      <c r="V17" s="2"/>
    </row>
    <row r="18" spans="1:22" s="1" customFormat="1" x14ac:dyDescent="0.55000000000000004">
      <c r="A18" s="2" t="s">
        <v>21</v>
      </c>
      <c r="B18" s="2" t="s">
        <v>68</v>
      </c>
      <c r="C18" s="2" t="s">
        <v>68</v>
      </c>
      <c r="D18" s="2" t="s">
        <v>84</v>
      </c>
      <c r="E18" s="2" t="s">
        <v>84</v>
      </c>
      <c r="F18" s="2" t="s">
        <v>85</v>
      </c>
      <c r="G18" s="2" t="s">
        <v>25</v>
      </c>
      <c r="H18" s="2" t="s">
        <v>26</v>
      </c>
      <c r="I18" s="2">
        <v>48</v>
      </c>
      <c r="J18" s="2">
        <v>0.45</v>
      </c>
      <c r="K18" s="2">
        <v>5.63</v>
      </c>
      <c r="L18" s="2">
        <v>188.65700000000001</v>
      </c>
      <c r="M18" s="2">
        <v>2.344228815319923E-6</v>
      </c>
      <c r="N18" s="2">
        <f>-LOG10((J18/1000)/L18)</f>
        <v>5.622460410285778</v>
      </c>
      <c r="O18" s="2" t="s">
        <v>27</v>
      </c>
      <c r="P18" s="2" t="s">
        <v>28</v>
      </c>
      <c r="Q18" s="2">
        <v>0.44225517561181071</v>
      </c>
      <c r="R18" s="2" t="s">
        <v>77</v>
      </c>
      <c r="S18" s="2" t="s">
        <v>30</v>
      </c>
      <c r="T18" s="2"/>
      <c r="U18" s="2"/>
      <c r="V18" s="2"/>
    </row>
    <row r="19" spans="1:22" s="1" customFormat="1" x14ac:dyDescent="0.55000000000000004">
      <c r="A19" s="2" t="s">
        <v>21</v>
      </c>
      <c r="B19" s="2" t="s">
        <v>68</v>
      </c>
      <c r="C19" s="2" t="s">
        <v>68</v>
      </c>
      <c r="D19" s="2" t="s">
        <v>86</v>
      </c>
      <c r="E19" s="2" t="s">
        <v>86</v>
      </c>
      <c r="F19" s="2" t="s">
        <v>87</v>
      </c>
      <c r="G19" s="2" t="s">
        <v>25</v>
      </c>
      <c r="H19" s="2" t="s">
        <v>26</v>
      </c>
      <c r="I19" s="2">
        <v>48</v>
      </c>
      <c r="J19" s="2">
        <v>2.9899999999999999E-2</v>
      </c>
      <c r="K19" s="2">
        <v>6.99</v>
      </c>
      <c r="L19" s="2">
        <v>291.99200000000002</v>
      </c>
      <c r="M19" s="2">
        <v>1.023292992280754E-7</v>
      </c>
      <c r="N19" s="2">
        <f>-LOG10((J19/1000)/L19)</f>
        <v>6.9896997644820367</v>
      </c>
      <c r="O19" s="2" t="s">
        <v>27</v>
      </c>
      <c r="P19" s="2" t="s">
        <v>28</v>
      </c>
      <c r="Q19" s="2">
        <v>2.9879336740204179E-2</v>
      </c>
      <c r="R19" s="2" t="s">
        <v>77</v>
      </c>
      <c r="S19" s="2" t="s">
        <v>30</v>
      </c>
      <c r="T19" s="2"/>
      <c r="U19" s="2"/>
      <c r="V19" s="2"/>
    </row>
    <row r="20" spans="1:22" s="1" customFormat="1" x14ac:dyDescent="0.55000000000000004">
      <c r="A20" s="2" t="s">
        <v>39</v>
      </c>
      <c r="B20" s="2" t="s">
        <v>46</v>
      </c>
      <c r="C20" s="2" t="s">
        <v>47</v>
      </c>
      <c r="D20" s="2" t="s">
        <v>88</v>
      </c>
      <c r="E20" s="2" t="s">
        <v>89</v>
      </c>
      <c r="F20" s="2" t="s">
        <v>90</v>
      </c>
      <c r="G20" s="2" t="s">
        <v>25</v>
      </c>
      <c r="H20" s="2" t="s">
        <v>26</v>
      </c>
      <c r="I20" s="2">
        <v>48</v>
      </c>
      <c r="J20" s="2">
        <v>5.9</v>
      </c>
      <c r="K20" s="2"/>
      <c r="L20" s="2">
        <v>410.45000000000022</v>
      </c>
      <c r="M20" s="2"/>
      <c r="N20" s="2">
        <f>-LOG10((J20/1000)/L20)</f>
        <v>4.8424082483598241</v>
      </c>
      <c r="O20" s="2" t="s">
        <v>27</v>
      </c>
      <c r="P20" s="2" t="s">
        <v>52</v>
      </c>
      <c r="Q20" s="2"/>
      <c r="R20" s="2" t="s">
        <v>29</v>
      </c>
      <c r="S20" s="2"/>
      <c r="T20" s="2"/>
      <c r="U20" s="2"/>
      <c r="V20" s="2"/>
    </row>
    <row r="21" spans="1:22" s="1" customFormat="1" x14ac:dyDescent="0.55000000000000004">
      <c r="A21" s="2" t="s">
        <v>21</v>
      </c>
      <c r="B21" s="2" t="s">
        <v>31</v>
      </c>
      <c r="C21" s="2" t="s">
        <v>31</v>
      </c>
      <c r="D21" s="2" t="s">
        <v>91</v>
      </c>
      <c r="E21" s="2" t="s">
        <v>91</v>
      </c>
      <c r="F21" s="2" t="s">
        <v>92</v>
      </c>
      <c r="G21" s="2" t="s">
        <v>25</v>
      </c>
      <c r="H21" s="2" t="s">
        <v>26</v>
      </c>
      <c r="I21" s="2">
        <v>48</v>
      </c>
      <c r="J21" s="2">
        <v>0.26</v>
      </c>
      <c r="K21" s="2">
        <v>6.04</v>
      </c>
      <c r="L21" s="2">
        <v>286.30799999999999</v>
      </c>
      <c r="M21" s="2">
        <v>9.1201083935590964E-7</v>
      </c>
      <c r="N21" s="2">
        <f>-LOG10((J21/1000)/L21)</f>
        <v>6.0418601352492249</v>
      </c>
      <c r="O21" s="2" t="s">
        <v>27</v>
      </c>
      <c r="P21" s="2" t="s">
        <v>28</v>
      </c>
      <c r="Q21" s="2">
        <v>0.26111599939431179</v>
      </c>
      <c r="R21" s="2" t="s">
        <v>29</v>
      </c>
      <c r="S21" s="2" t="s">
        <v>30</v>
      </c>
      <c r="T21" s="2"/>
      <c r="U21" s="2"/>
      <c r="V21" s="2"/>
    </row>
    <row r="22" spans="1:22" s="1" customFormat="1" x14ac:dyDescent="0.55000000000000004">
      <c r="A22" s="2" t="s">
        <v>39</v>
      </c>
      <c r="B22" s="2" t="s">
        <v>46</v>
      </c>
      <c r="C22" s="2" t="s">
        <v>47</v>
      </c>
      <c r="D22" s="2" t="s">
        <v>93</v>
      </c>
      <c r="E22" s="2" t="s">
        <v>94</v>
      </c>
      <c r="F22" s="2" t="s">
        <v>95</v>
      </c>
      <c r="G22" s="2" t="s">
        <v>25</v>
      </c>
      <c r="H22" s="2" t="s">
        <v>26</v>
      </c>
      <c r="I22" s="2">
        <v>48</v>
      </c>
      <c r="J22" s="2">
        <v>0.86</v>
      </c>
      <c r="K22" s="2"/>
      <c r="L22" s="2">
        <v>288.34899999999999</v>
      </c>
      <c r="M22" s="2"/>
      <c r="N22" s="2">
        <f>-LOG10((J22/1000)/L22)</f>
        <v>5.5254199983641596</v>
      </c>
      <c r="O22" s="2" t="s">
        <v>27</v>
      </c>
      <c r="P22" s="2" t="s">
        <v>52</v>
      </c>
      <c r="Q22" s="2"/>
      <c r="R22" s="2" t="s">
        <v>34</v>
      </c>
      <c r="S22" s="2"/>
      <c r="T22" s="2"/>
      <c r="U22" s="2"/>
      <c r="V22" s="2"/>
    </row>
    <row r="23" spans="1:22" s="1" customFormat="1" x14ac:dyDescent="0.55000000000000004">
      <c r="A23" s="2" t="s">
        <v>39</v>
      </c>
      <c r="B23" s="2" t="s">
        <v>46</v>
      </c>
      <c r="C23" s="2" t="s">
        <v>47</v>
      </c>
      <c r="D23" s="2" t="s">
        <v>96</v>
      </c>
      <c r="E23" s="2" t="s">
        <v>97</v>
      </c>
      <c r="F23" s="2" t="s">
        <v>98</v>
      </c>
      <c r="G23" s="2" t="s">
        <v>25</v>
      </c>
      <c r="H23" s="2" t="s">
        <v>26</v>
      </c>
      <c r="I23" s="2">
        <v>48</v>
      </c>
      <c r="J23" s="2">
        <v>70</v>
      </c>
      <c r="K23" s="2"/>
      <c r="L23" s="2">
        <v>452.53100000000012</v>
      </c>
      <c r="M23" s="2"/>
      <c r="N23" s="2">
        <f>-LOG10((J23/1000)/L23)</f>
        <v>3.810550295278992</v>
      </c>
      <c r="O23" s="2" t="s">
        <v>27</v>
      </c>
      <c r="P23" s="2" t="s">
        <v>52</v>
      </c>
      <c r="Q23" s="2"/>
      <c r="R23" s="2" t="s">
        <v>29</v>
      </c>
      <c r="S23" s="2"/>
      <c r="T23" s="2"/>
      <c r="U23" s="2"/>
      <c r="V23" s="2"/>
    </row>
    <row r="24" spans="1:22" s="1" customFormat="1" x14ac:dyDescent="0.55000000000000004">
      <c r="A24" s="2" t="s">
        <v>39</v>
      </c>
      <c r="B24" s="2" t="s">
        <v>46</v>
      </c>
      <c r="C24" s="2" t="s">
        <v>47</v>
      </c>
      <c r="D24" s="2" t="s">
        <v>99</v>
      </c>
      <c r="E24" s="2" t="s">
        <v>100</v>
      </c>
      <c r="F24" s="2" t="s">
        <v>101</v>
      </c>
      <c r="G24" s="2" t="s">
        <v>25</v>
      </c>
      <c r="H24" s="2" t="s">
        <v>26</v>
      </c>
      <c r="I24" s="2">
        <v>48</v>
      </c>
      <c r="J24" s="2">
        <v>4.5</v>
      </c>
      <c r="K24" s="2"/>
      <c r="L24" s="2">
        <v>186.238</v>
      </c>
      <c r="M24" s="2"/>
      <c r="N24" s="2">
        <f>-LOG10((J24/1000)/L24)</f>
        <v>4.6168557853540966</v>
      </c>
      <c r="O24" s="2" t="s">
        <v>27</v>
      </c>
      <c r="P24" s="2" t="s">
        <v>52</v>
      </c>
      <c r="Q24" s="2"/>
      <c r="R24" s="2" t="s">
        <v>34</v>
      </c>
      <c r="S24" s="2"/>
      <c r="T24" s="2"/>
      <c r="U24" s="2"/>
      <c r="V24" s="2"/>
    </row>
    <row r="25" spans="1:22" x14ac:dyDescent="0.55000000000000004">
      <c r="A25" s="2" t="s">
        <v>21</v>
      </c>
      <c r="B25" s="2" t="s">
        <v>68</v>
      </c>
      <c r="C25" s="2" t="s">
        <v>68</v>
      </c>
      <c r="D25" s="2" t="s">
        <v>102</v>
      </c>
      <c r="E25" s="2" t="s">
        <v>102</v>
      </c>
      <c r="F25" s="2" t="s">
        <v>103</v>
      </c>
      <c r="G25" s="2" t="s">
        <v>25</v>
      </c>
      <c r="H25" s="2" t="s">
        <v>26</v>
      </c>
      <c r="I25" s="2">
        <v>48</v>
      </c>
      <c r="J25" s="2">
        <v>2.0200000000000001E-3</v>
      </c>
      <c r="K25" s="2">
        <v>8.16</v>
      </c>
      <c r="L25" s="2">
        <v>291.99200000000002</v>
      </c>
      <c r="M25" s="2">
        <v>6.9183097091893626E-9</v>
      </c>
      <c r="N25" s="2">
        <f>-LOG10((J25/1000)/L25)</f>
        <v>8.1600195833598423</v>
      </c>
      <c r="O25" s="2" t="s">
        <v>27</v>
      </c>
      <c r="P25" s="2" t="s">
        <v>28</v>
      </c>
      <c r="Q25" s="2">
        <v>2.0200910886056201E-3</v>
      </c>
      <c r="R25" s="2" t="s">
        <v>77</v>
      </c>
      <c r="S25" s="2" t="s">
        <v>30</v>
      </c>
      <c r="T25" s="2"/>
      <c r="U25" s="2"/>
      <c r="V25" s="2"/>
    </row>
    <row r="26" spans="1:22" x14ac:dyDescent="0.55000000000000004">
      <c r="A26" s="2" t="s">
        <v>21</v>
      </c>
      <c r="B26" s="2" t="s">
        <v>68</v>
      </c>
      <c r="C26" s="2" t="s">
        <v>68</v>
      </c>
      <c r="D26" s="2" t="s">
        <v>104</v>
      </c>
      <c r="E26" s="2" t="s">
        <v>104</v>
      </c>
      <c r="F26" s="2" t="s">
        <v>105</v>
      </c>
      <c r="G26" s="2" t="s">
        <v>25</v>
      </c>
      <c r="H26" s="2" t="s">
        <v>26</v>
      </c>
      <c r="I26" s="2">
        <v>48</v>
      </c>
      <c r="J26" s="2">
        <v>1.31E-3</v>
      </c>
      <c r="K26" s="2">
        <v>8.44</v>
      </c>
      <c r="L26" s="2">
        <v>360.88200000000012</v>
      </c>
      <c r="M26" s="2">
        <v>3.6307805477010181E-9</v>
      </c>
      <c r="N26" s="2">
        <f>-LOG10((J26/1000)/L26)</f>
        <v>8.4400939252908973</v>
      </c>
      <c r="O26" s="2" t="s">
        <v>27</v>
      </c>
      <c r="P26" s="2" t="s">
        <v>28</v>
      </c>
      <c r="Q26" s="2">
        <v>1.310283345615439E-3</v>
      </c>
      <c r="R26" s="2" t="s">
        <v>77</v>
      </c>
      <c r="S26" s="2" t="s">
        <v>30</v>
      </c>
      <c r="T26" s="2"/>
      <c r="U26" s="2"/>
      <c r="V26" s="2"/>
    </row>
    <row r="27" spans="1:22" s="1" customFormat="1" x14ac:dyDescent="0.55000000000000004">
      <c r="A27" s="2" t="s">
        <v>21</v>
      </c>
      <c r="B27" s="2" t="s">
        <v>68</v>
      </c>
      <c r="C27" s="2" t="s">
        <v>68</v>
      </c>
      <c r="D27" s="2" t="s">
        <v>106</v>
      </c>
      <c r="E27" s="2" t="s">
        <v>106</v>
      </c>
      <c r="F27" s="2" t="s">
        <v>107</v>
      </c>
      <c r="G27" s="2" t="s">
        <v>25</v>
      </c>
      <c r="H27" s="2" t="s">
        <v>26</v>
      </c>
      <c r="I27" s="2">
        <v>48</v>
      </c>
      <c r="J27" s="2">
        <v>2.9899999999999999E-2</v>
      </c>
      <c r="K27" s="2">
        <v>6.99</v>
      </c>
      <c r="L27" s="2">
        <v>291.99200000000008</v>
      </c>
      <c r="M27" s="2">
        <v>1.023292992280754E-7</v>
      </c>
      <c r="N27" s="2">
        <f>-LOG10((J27/1000)/L27)</f>
        <v>6.9896997644820367</v>
      </c>
      <c r="O27" s="2" t="s">
        <v>27</v>
      </c>
      <c r="P27" s="2" t="s">
        <v>28</v>
      </c>
      <c r="Q27" s="2">
        <v>2.9879336740204189E-2</v>
      </c>
      <c r="R27" s="2" t="s">
        <v>77</v>
      </c>
      <c r="S27" s="2" t="s">
        <v>30</v>
      </c>
      <c r="T27" s="2"/>
      <c r="U27" s="2"/>
      <c r="V27" s="2"/>
    </row>
    <row r="28" spans="1:22" x14ac:dyDescent="0.55000000000000004">
      <c r="A28" s="2" t="s">
        <v>21</v>
      </c>
      <c r="B28" s="2" t="s">
        <v>68</v>
      </c>
      <c r="C28" s="2" t="s">
        <v>68</v>
      </c>
      <c r="D28" s="2" t="s">
        <v>108</v>
      </c>
      <c r="E28" s="2" t="s">
        <v>108</v>
      </c>
      <c r="F28" s="2" t="s">
        <v>109</v>
      </c>
      <c r="G28" s="2" t="s">
        <v>25</v>
      </c>
      <c r="H28" s="2" t="s">
        <v>26</v>
      </c>
      <c r="I28" s="2">
        <v>48</v>
      </c>
      <c r="J28" s="2">
        <v>5.5100000000000003E-2</v>
      </c>
      <c r="K28" s="2">
        <v>6.67</v>
      </c>
      <c r="L28" s="2">
        <v>257.54700000000003</v>
      </c>
      <c r="M28" s="2">
        <v>2.1379620895022319E-7</v>
      </c>
      <c r="N28" s="2">
        <f>-LOG10((J28/1000)/L28)</f>
        <v>6.6697048965760963</v>
      </c>
      <c r="O28" s="2" t="s">
        <v>27</v>
      </c>
      <c r="P28" s="2" t="s">
        <v>28</v>
      </c>
      <c r="Q28" s="2">
        <v>5.5062572226503147E-2</v>
      </c>
      <c r="R28" s="2" t="s">
        <v>77</v>
      </c>
      <c r="S28" s="2" t="s">
        <v>30</v>
      </c>
      <c r="T28" s="2"/>
      <c r="U28" s="2"/>
      <c r="V28" s="2"/>
    </row>
    <row r="29" spans="1:22" x14ac:dyDescent="0.55000000000000004">
      <c r="A29" s="2" t="s">
        <v>21</v>
      </c>
      <c r="B29" s="2" t="s">
        <v>68</v>
      </c>
      <c r="C29" s="2" t="s">
        <v>68</v>
      </c>
      <c r="D29" s="2" t="s">
        <v>110</v>
      </c>
      <c r="E29" s="2" t="s">
        <v>110</v>
      </c>
      <c r="F29" s="2" t="s">
        <v>111</v>
      </c>
      <c r="G29" s="2" t="s">
        <v>25</v>
      </c>
      <c r="H29" s="2" t="s">
        <v>26</v>
      </c>
      <c r="I29" s="2">
        <v>48</v>
      </c>
      <c r="J29" s="2">
        <v>1.01E-2</v>
      </c>
      <c r="K29" s="2">
        <v>7.51</v>
      </c>
      <c r="L29" s="2">
        <v>326.43700000000001</v>
      </c>
      <c r="M29" s="2">
        <v>3.090295432513592E-8</v>
      </c>
      <c r="N29" s="2">
        <f>-LOG10((J29/1000)/L29)</f>
        <v>7.5094780041948042</v>
      </c>
      <c r="O29" s="2" t="s">
        <v>27</v>
      </c>
      <c r="P29" s="2" t="s">
        <v>28</v>
      </c>
      <c r="Q29" s="2">
        <v>1.0087867701034391E-2</v>
      </c>
      <c r="R29" s="2" t="s">
        <v>77</v>
      </c>
      <c r="S29" s="2" t="s">
        <v>30</v>
      </c>
      <c r="T29" s="2"/>
      <c r="U29" s="2"/>
      <c r="V29" s="2"/>
    </row>
    <row r="30" spans="1:22" s="1" customFormat="1" x14ac:dyDescent="0.55000000000000004">
      <c r="A30" s="2" t="s">
        <v>21</v>
      </c>
      <c r="B30" s="2" t="s">
        <v>22</v>
      </c>
      <c r="C30" s="2" t="s">
        <v>22</v>
      </c>
      <c r="D30" s="2" t="s">
        <v>112</v>
      </c>
      <c r="E30" s="2" t="s">
        <v>112</v>
      </c>
      <c r="F30" s="2" t="s">
        <v>113</v>
      </c>
      <c r="G30" s="2" t="s">
        <v>25</v>
      </c>
      <c r="H30" s="2" t="s">
        <v>26</v>
      </c>
      <c r="I30" s="2">
        <v>48</v>
      </c>
      <c r="J30" s="2">
        <v>9.1899999999999996E-2</v>
      </c>
      <c r="K30" s="2">
        <v>6.72</v>
      </c>
      <c r="L30" s="2">
        <v>485.79500000000002</v>
      </c>
      <c r="M30" s="2">
        <v>1.905460717963248E-7</v>
      </c>
      <c r="N30" s="2">
        <f>-LOG10((J30/1000)/L30)</f>
        <v>6.7231375291703115</v>
      </c>
      <c r="O30" s="2" t="s">
        <v>27</v>
      </c>
      <c r="P30" s="2" t="s">
        <v>28</v>
      </c>
      <c r="Q30" s="2">
        <v>9.2566328948295626E-2</v>
      </c>
      <c r="R30" s="2" t="s">
        <v>29</v>
      </c>
      <c r="S30" s="2" t="s">
        <v>30</v>
      </c>
      <c r="T30" s="2"/>
      <c r="U30" s="2"/>
      <c r="V30" s="2"/>
    </row>
    <row r="31" spans="1:22" s="1" customFormat="1" x14ac:dyDescent="0.55000000000000004">
      <c r="A31" s="2" t="s">
        <v>39</v>
      </c>
      <c r="B31" s="2" t="s">
        <v>45</v>
      </c>
      <c r="C31" s="2" t="s">
        <v>114</v>
      </c>
      <c r="D31" s="2" t="s">
        <v>115</v>
      </c>
      <c r="E31" s="2" t="s">
        <v>116</v>
      </c>
      <c r="F31" s="2" t="s">
        <v>117</v>
      </c>
      <c r="G31" s="2" t="s">
        <v>25</v>
      </c>
      <c r="H31" s="2" t="s">
        <v>26</v>
      </c>
      <c r="I31" s="2">
        <v>48</v>
      </c>
      <c r="J31" s="2">
        <v>66</v>
      </c>
      <c r="K31" s="2"/>
      <c r="L31" s="2">
        <v>574.46200000000022</v>
      </c>
      <c r="M31" s="2"/>
      <c r="N31" s="2">
        <f>-LOG10((J31/1000)/L31)</f>
        <v>3.9397173703525246</v>
      </c>
      <c r="O31" s="2" t="s">
        <v>27</v>
      </c>
      <c r="P31" s="2" t="s">
        <v>52</v>
      </c>
      <c r="Q31" s="2"/>
      <c r="R31" s="2" t="s">
        <v>29</v>
      </c>
      <c r="S31" s="2" t="s">
        <v>118</v>
      </c>
      <c r="T31" s="2"/>
      <c r="U31" s="2"/>
      <c r="V31" s="2"/>
    </row>
    <row r="32" spans="1:22" s="1" customFormat="1" x14ac:dyDescent="0.55000000000000004">
      <c r="A32" s="2" t="s">
        <v>39</v>
      </c>
      <c r="B32" s="2" t="s">
        <v>45</v>
      </c>
      <c r="C32" s="2" t="s">
        <v>119</v>
      </c>
      <c r="D32" s="2" t="s">
        <v>120</v>
      </c>
      <c r="E32" s="2" t="s">
        <v>121</v>
      </c>
      <c r="F32" s="2" t="s">
        <v>122</v>
      </c>
      <c r="G32" s="2" t="s">
        <v>25</v>
      </c>
      <c r="H32" s="2" t="s">
        <v>26</v>
      </c>
      <c r="I32" s="2">
        <v>48</v>
      </c>
      <c r="J32" s="2">
        <v>0.21</v>
      </c>
      <c r="K32" s="2"/>
      <c r="L32" s="2">
        <v>692.64100000000019</v>
      </c>
      <c r="M32" s="2"/>
      <c r="N32" s="2">
        <f>-LOG10((J32/1000)/L32)</f>
        <v>6.5182889007479945</v>
      </c>
      <c r="O32" s="2" t="s">
        <v>27</v>
      </c>
      <c r="P32" s="2" t="s">
        <v>52</v>
      </c>
      <c r="Q32" s="2"/>
      <c r="R32" s="2" t="s">
        <v>29</v>
      </c>
      <c r="S32" s="2" t="s">
        <v>123</v>
      </c>
      <c r="T32" s="2"/>
      <c r="U32" s="2"/>
      <c r="V32" s="2"/>
    </row>
    <row r="33" spans="1:22" s="1" customFormat="1" x14ac:dyDescent="0.55000000000000004">
      <c r="A33" s="2" t="s">
        <v>21</v>
      </c>
      <c r="B33" s="2" t="s">
        <v>22</v>
      </c>
      <c r="C33" s="2" t="s">
        <v>22</v>
      </c>
      <c r="D33" s="2" t="s">
        <v>124</v>
      </c>
      <c r="E33" s="2" t="s">
        <v>124</v>
      </c>
      <c r="F33" s="2" t="s">
        <v>125</v>
      </c>
      <c r="G33" s="2" t="s">
        <v>25</v>
      </c>
      <c r="H33" s="2" t="s">
        <v>26</v>
      </c>
      <c r="I33" s="2">
        <v>48</v>
      </c>
      <c r="J33" s="2">
        <v>5.3999999999999999E-2</v>
      </c>
      <c r="K33" s="2">
        <v>7.02</v>
      </c>
      <c r="L33" s="2">
        <v>564.69100000000003</v>
      </c>
      <c r="M33" s="2">
        <v>9.5499258602143688E-8</v>
      </c>
      <c r="N33" s="2">
        <f>-LOG10((J33/1000)/L33)</f>
        <v>7.0194171062183468</v>
      </c>
      <c r="O33" s="2" t="s">
        <v>27</v>
      </c>
      <c r="P33" s="2" t="s">
        <v>28</v>
      </c>
      <c r="Q33" s="2">
        <v>5.3927571839303121E-2</v>
      </c>
      <c r="R33" s="2" t="s">
        <v>29</v>
      </c>
      <c r="S33" s="2" t="s">
        <v>30</v>
      </c>
      <c r="T33" s="2"/>
      <c r="U33" s="2"/>
      <c r="V33" s="2"/>
    </row>
    <row r="34" spans="1:22" s="1" customFormat="1" x14ac:dyDescent="0.55000000000000004">
      <c r="A34" s="2" t="s">
        <v>21</v>
      </c>
      <c r="B34" s="2" t="s">
        <v>68</v>
      </c>
      <c r="C34" s="2" t="s">
        <v>68</v>
      </c>
      <c r="D34" s="2" t="s">
        <v>126</v>
      </c>
      <c r="E34" s="2" t="s">
        <v>126</v>
      </c>
      <c r="F34" s="2" t="s">
        <v>127</v>
      </c>
      <c r="G34" s="2" t="s">
        <v>25</v>
      </c>
      <c r="H34" s="2" t="s">
        <v>26</v>
      </c>
      <c r="I34" s="2">
        <v>48</v>
      </c>
      <c r="J34" s="2">
        <v>0.16</v>
      </c>
      <c r="K34" s="2">
        <v>6.21</v>
      </c>
      <c r="L34" s="2">
        <v>257.54700000000003</v>
      </c>
      <c r="M34" s="2">
        <v>6.1659500186148219E-7</v>
      </c>
      <c r="N34" s="2">
        <f>-LOG10((J34/1000)/L34)</f>
        <v>6.2067365127719567</v>
      </c>
      <c r="O34" s="2" t="s">
        <v>27</v>
      </c>
      <c r="P34" s="2" t="s">
        <v>28</v>
      </c>
      <c r="Q34" s="2">
        <v>0.15880219294441919</v>
      </c>
      <c r="R34" s="2" t="s">
        <v>77</v>
      </c>
      <c r="S34" s="2" t="s">
        <v>30</v>
      </c>
      <c r="T34" s="2"/>
      <c r="U34" s="2"/>
      <c r="V34" s="2"/>
    </row>
    <row r="35" spans="1:22" s="1" customFormat="1" x14ac:dyDescent="0.55000000000000004">
      <c r="A35" s="2" t="s">
        <v>21</v>
      </c>
      <c r="B35" s="2" t="s">
        <v>31</v>
      </c>
      <c r="C35" s="2" t="s">
        <v>31</v>
      </c>
      <c r="D35" s="2" t="s">
        <v>128</v>
      </c>
      <c r="E35" s="2" t="s">
        <v>128</v>
      </c>
      <c r="F35" s="2" t="s">
        <v>129</v>
      </c>
      <c r="G35" s="2" t="s">
        <v>25</v>
      </c>
      <c r="H35" s="2" t="s">
        <v>26</v>
      </c>
      <c r="I35" s="2">
        <v>48</v>
      </c>
      <c r="J35" s="2">
        <v>45.99</v>
      </c>
      <c r="K35" s="2">
        <v>3.74</v>
      </c>
      <c r="L35" s="2">
        <v>252.73099999999999</v>
      </c>
      <c r="M35" s="2">
        <v>1.8197008586099829E-4</v>
      </c>
      <c r="N35" s="2">
        <f>-LOG10((J35/1000)/L35)</f>
        <v>3.7399951062010852</v>
      </c>
      <c r="O35" s="2" t="s">
        <v>27</v>
      </c>
      <c r="P35" s="2" t="s">
        <v>28</v>
      </c>
      <c r="Q35" s="2">
        <v>45.989481769735953</v>
      </c>
      <c r="R35" s="2" t="s">
        <v>34</v>
      </c>
      <c r="S35" s="2" t="s">
        <v>30</v>
      </c>
      <c r="T35" s="2"/>
      <c r="U35" s="2" t="s">
        <v>130</v>
      </c>
      <c r="V35" s="2">
        <v>7</v>
      </c>
    </row>
    <row r="36" spans="1:22" s="1" customFormat="1" x14ac:dyDescent="0.55000000000000004">
      <c r="A36" s="2" t="s">
        <v>21</v>
      </c>
      <c r="B36" s="2" t="s">
        <v>31</v>
      </c>
      <c r="C36" s="2" t="s">
        <v>31</v>
      </c>
      <c r="D36" s="2" t="s">
        <v>131</v>
      </c>
      <c r="E36" s="2" t="s">
        <v>131</v>
      </c>
      <c r="F36" s="2" t="s">
        <v>132</v>
      </c>
      <c r="G36" s="2" t="s">
        <v>25</v>
      </c>
      <c r="H36" s="2" t="s">
        <v>26</v>
      </c>
      <c r="I36" s="2">
        <v>48</v>
      </c>
      <c r="J36" s="2">
        <v>5.1999999999999998E-2</v>
      </c>
      <c r="K36" s="2">
        <v>6.72</v>
      </c>
      <c r="L36" s="2">
        <v>272.77300000000002</v>
      </c>
      <c r="M36" s="2">
        <v>1.905460717963248E-7</v>
      </c>
      <c r="N36" s="2">
        <f>-LOG10((J36/1000)/L36)</f>
        <v>6.7197980365309853</v>
      </c>
      <c r="O36" s="2" t="s">
        <v>27</v>
      </c>
      <c r="P36" s="2" t="s">
        <v>28</v>
      </c>
      <c r="Q36" s="2">
        <v>5.197582364209892E-2</v>
      </c>
      <c r="R36" s="2" t="s">
        <v>34</v>
      </c>
      <c r="S36" s="2" t="s">
        <v>30</v>
      </c>
      <c r="T36" s="2"/>
      <c r="U36" s="2" t="s">
        <v>133</v>
      </c>
      <c r="V36" s="2">
        <v>31</v>
      </c>
    </row>
    <row r="37" spans="1:22" s="1" customFormat="1" x14ac:dyDescent="0.55000000000000004">
      <c r="A37" s="2" t="s">
        <v>39</v>
      </c>
      <c r="B37" s="2" t="s">
        <v>40</v>
      </c>
      <c r="C37" s="2" t="s">
        <v>134</v>
      </c>
      <c r="D37" s="2" t="s">
        <v>135</v>
      </c>
      <c r="E37" s="2" t="s">
        <v>136</v>
      </c>
      <c r="F37" s="2" t="s">
        <v>137</v>
      </c>
      <c r="G37" s="2" t="s">
        <v>25</v>
      </c>
      <c r="H37" s="2" t="s">
        <v>26</v>
      </c>
      <c r="I37" s="2">
        <v>48</v>
      </c>
      <c r="J37" s="2">
        <v>0.31</v>
      </c>
      <c r="K37" s="2"/>
      <c r="L37" s="2">
        <v>368.36900000000009</v>
      </c>
      <c r="M37" s="2"/>
      <c r="N37" s="2">
        <f>-LOG10((J37/1000)/L37)</f>
        <v>6.0749213812860434</v>
      </c>
      <c r="O37" s="2" t="s">
        <v>27</v>
      </c>
      <c r="P37" s="2" t="s">
        <v>52</v>
      </c>
      <c r="Q37" s="2"/>
      <c r="R37" s="2" t="s">
        <v>29</v>
      </c>
      <c r="S37" s="2" t="s">
        <v>44</v>
      </c>
      <c r="T37" s="2"/>
      <c r="U37" s="2"/>
      <c r="V37" s="2"/>
    </row>
    <row r="38" spans="1:22" s="1" customFormat="1" x14ac:dyDescent="0.55000000000000004">
      <c r="A38" s="2" t="s">
        <v>39</v>
      </c>
      <c r="B38" s="2" t="s">
        <v>40</v>
      </c>
      <c r="C38" s="2" t="s">
        <v>138</v>
      </c>
      <c r="D38" s="2" t="s">
        <v>139</v>
      </c>
      <c r="E38" s="2" t="s">
        <v>140</v>
      </c>
      <c r="F38" s="2" t="s">
        <v>141</v>
      </c>
      <c r="G38" s="2" t="s">
        <v>25</v>
      </c>
      <c r="H38" s="2" t="s">
        <v>26</v>
      </c>
      <c r="I38" s="2">
        <v>48</v>
      </c>
      <c r="J38" s="2">
        <v>0.74</v>
      </c>
      <c r="K38" s="2"/>
      <c r="L38" s="2">
        <v>434.64200000000039</v>
      </c>
      <c r="M38" s="2"/>
      <c r="N38" s="2">
        <f>-LOG10((J38/1000)/L38)</f>
        <v>5.7688999707001862</v>
      </c>
      <c r="O38" s="2" t="s">
        <v>27</v>
      </c>
      <c r="P38" s="2" t="s">
        <v>52</v>
      </c>
      <c r="Q38" s="2"/>
      <c r="R38" s="2" t="s">
        <v>29</v>
      </c>
      <c r="S38" s="2" t="s">
        <v>44</v>
      </c>
      <c r="T38" s="2"/>
      <c r="U38" s="2"/>
      <c r="V38" s="2"/>
    </row>
    <row r="39" spans="1:22" s="1" customFormat="1" x14ac:dyDescent="0.55000000000000004">
      <c r="A39" s="2" t="s">
        <v>21</v>
      </c>
      <c r="B39" s="2" t="s">
        <v>22</v>
      </c>
      <c r="C39" s="2" t="s">
        <v>22</v>
      </c>
      <c r="D39" s="2" t="s">
        <v>142</v>
      </c>
      <c r="E39" s="2" t="s">
        <v>142</v>
      </c>
      <c r="F39" s="2" t="s">
        <v>70</v>
      </c>
      <c r="G39" s="2" t="s">
        <v>25</v>
      </c>
      <c r="H39" s="2" t="s">
        <v>26</v>
      </c>
      <c r="I39" s="2">
        <v>48</v>
      </c>
      <c r="J39" s="2">
        <v>7.9</v>
      </c>
      <c r="K39" s="2">
        <v>4.84</v>
      </c>
      <c r="L39" s="2">
        <v>543.875</v>
      </c>
      <c r="M39" s="3">
        <v>1.45E-5</v>
      </c>
      <c r="N39" s="2">
        <v>4.837872</v>
      </c>
      <c r="O39" s="2" t="s">
        <v>27</v>
      </c>
      <c r="P39" s="2" t="s">
        <v>28</v>
      </c>
      <c r="Q39" s="2">
        <v>7.8613860000000004</v>
      </c>
      <c r="R39" s="2" t="s">
        <v>29</v>
      </c>
      <c r="S39" s="2" t="s">
        <v>30</v>
      </c>
      <c r="T39" s="2"/>
      <c r="U39" s="2"/>
      <c r="V39" s="2"/>
    </row>
    <row r="40" spans="1:22" s="1" customFormat="1" x14ac:dyDescent="0.55000000000000004">
      <c r="A40" s="2" t="s">
        <v>21</v>
      </c>
      <c r="B40" s="2" t="s">
        <v>31</v>
      </c>
      <c r="C40" s="2" t="s">
        <v>31</v>
      </c>
      <c r="D40" s="2" t="s">
        <v>143</v>
      </c>
      <c r="E40" s="2" t="s">
        <v>143</v>
      </c>
      <c r="F40" s="2" t="s">
        <v>144</v>
      </c>
      <c r="G40" s="2" t="s">
        <v>25</v>
      </c>
      <c r="H40" s="2" t="s">
        <v>26</v>
      </c>
      <c r="I40" s="2">
        <v>48</v>
      </c>
      <c r="J40" s="2">
        <v>11.42</v>
      </c>
      <c r="K40" s="2">
        <v>4.3</v>
      </c>
      <c r="L40" s="2">
        <v>228.291</v>
      </c>
      <c r="M40" s="2">
        <v>5.0118723362727251E-5</v>
      </c>
      <c r="N40" s="2">
        <f>-LOG10((J40/1000)/L40)</f>
        <v>4.3008226865669057</v>
      </c>
      <c r="O40" s="2" t="s">
        <v>27</v>
      </c>
      <c r="P40" s="2" t="s">
        <v>28</v>
      </c>
      <c r="Q40" s="2">
        <v>11.44165347520037</v>
      </c>
      <c r="R40" s="2" t="s">
        <v>77</v>
      </c>
      <c r="S40" s="2" t="s">
        <v>30</v>
      </c>
      <c r="T40" s="2"/>
      <c r="U40" s="2"/>
      <c r="V40" s="2"/>
    </row>
    <row r="41" spans="1:22" s="1" customFormat="1" x14ac:dyDescent="0.55000000000000004">
      <c r="A41" s="2" t="s">
        <v>39</v>
      </c>
      <c r="B41" s="2" t="s">
        <v>40</v>
      </c>
      <c r="C41" s="2" t="s">
        <v>145</v>
      </c>
      <c r="D41" s="2" t="s">
        <v>146</v>
      </c>
      <c r="E41" s="2" t="s">
        <v>147</v>
      </c>
      <c r="F41" s="2" t="s">
        <v>148</v>
      </c>
      <c r="G41" s="2" t="s">
        <v>25</v>
      </c>
      <c r="H41" s="2" t="s">
        <v>26</v>
      </c>
      <c r="I41" s="2">
        <v>48</v>
      </c>
      <c r="J41" s="2">
        <v>81</v>
      </c>
      <c r="K41" s="2"/>
      <c r="L41" s="2">
        <v>327.572</v>
      </c>
      <c r="M41" s="2"/>
      <c r="N41" s="2">
        <f>-LOG10((J41/1000)/L41)</f>
        <v>3.6068217534368632</v>
      </c>
      <c r="O41" s="2" t="s">
        <v>27</v>
      </c>
      <c r="P41" s="2" t="s">
        <v>52</v>
      </c>
      <c r="Q41" s="2"/>
      <c r="R41" s="2" t="s">
        <v>29</v>
      </c>
      <c r="S41" s="2" t="s">
        <v>44</v>
      </c>
      <c r="T41" s="2"/>
      <c r="U41" s="2"/>
      <c r="V41" s="2"/>
    </row>
    <row r="42" spans="1:22" s="1" customFormat="1" x14ac:dyDescent="0.55000000000000004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Unified_Units_pEC50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Aleksandra Pedo</cp:lastModifiedBy>
  <dcterms:created xsi:type="dcterms:W3CDTF">2026-05-18T13:15:10Z</dcterms:created>
  <dcterms:modified xsi:type="dcterms:W3CDTF">2026-06-02T16:45:46Z</dcterms:modified>
</cp:coreProperties>
</file>